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Email Templates" sheetId="2" state="visible" r:id="rId2"/>
    <sheet xmlns:r="http://schemas.openxmlformats.org/officeDocument/2006/relationships" name="Dashboa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1B3A6B"/>
      <sz val="9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1B3A6B"/>
      <sz val="9"/>
    </font>
    <font>
      <name val="Arial"/>
      <charset val="1"/>
      <family val="0"/>
      <i val="1"/>
      <color rgb="FF1B3A6B"/>
      <sz val="10"/>
    </font>
    <font>
      <name val="Arial"/>
      <charset val="1"/>
      <family val="0"/>
      <b val="1"/>
      <color rgb="FF444444"/>
      <sz val="9"/>
    </font>
    <font>
      <name val="Arial"/>
      <charset val="1"/>
      <family val="0"/>
      <sz val="10"/>
    </font>
    <font>
      <name val="Arial"/>
      <charset val="1"/>
      <family val="0"/>
      <color rgb="FF888888"/>
      <sz val="8"/>
    </font>
    <font>
      <name val="Arial"/>
      <charset val="1"/>
      <family val="0"/>
      <i val="1"/>
      <color rgb="FF888888"/>
      <sz val="8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7D9E"/>
        <bgColor rgb="FF008080"/>
      </patternFill>
    </fill>
    <fill>
      <patternFill patternType="solid">
        <fgColor rgb="FFC8F5D0"/>
        <bgColor rgb="FFCCFFFF"/>
      </patternFill>
    </fill>
    <fill>
      <patternFill patternType="solid">
        <fgColor rgb="FFF4F6F9"/>
        <bgColor rgb="FFFFFFFF"/>
      </patternFill>
    </fill>
    <fill>
      <patternFill patternType="solid">
        <fgColor rgb="FFFFF3CD"/>
        <bgColor rgb="FFF4F6F9"/>
      </patternFill>
    </fill>
    <fill>
      <patternFill patternType="solid">
        <fgColor rgb="FFF8D7DA"/>
        <b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9E"/>
      <rgbColor rgb="FFCCCCCC"/>
      <rgbColor rgb="FF888888"/>
      <rgbColor rgb="FF9999FF"/>
      <rgbColor rgb="FF993366"/>
      <rgbColor rgb="FFFFF3CD"/>
      <rgbColor rgb="FFF4F6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F5D0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" customWidth="1" style="30" min="1" max="1"/>
    <col width="13" customWidth="1" style="30" min="2" max="2"/>
    <col width="14" customWidth="1" style="30" min="3" max="3"/>
    <col width="22" customWidth="1" style="30" min="4" max="5"/>
    <col width="8" customWidth="1" style="30" min="6" max="6"/>
    <col width="10" customWidth="1" style="30" min="7" max="7"/>
    <col width="30" customWidth="1" style="30" min="8" max="8"/>
    <col width="12" customWidth="1" style="30" min="9" max="9"/>
    <col width="14" customWidth="1" style="30" min="10" max="11"/>
    <col width="18" customWidth="1" style="30" min="12" max="12"/>
    <col width="13" customWidth="1" style="30" min="13" max="13"/>
    <col width="14" customWidth="1" style="30" min="14" max="14"/>
    <col width="35" customWidth="1" style="30" min="15" max="15"/>
    <col width="14" customWidth="1" style="30" min="16" max="19"/>
  </cols>
  <sheetData>
    <row r="1" ht="18" customHeight="1" s="31">
      <c r="A1" s="32" t="inlineStr">
        <is>
          <t>FORREST ANALYTICS GROUP LLC — CLIENT PIPELINE</t>
        </is>
      </c>
    </row>
    <row r="2" ht="27.75" customHeight="1" s="31">
      <c r="A2" s="33" t="inlineStr">
        <is>
          <t>ID</t>
        </is>
      </c>
      <c r="B2" s="33" t="inlineStr">
        <is>
          <t>First Name</t>
        </is>
      </c>
      <c r="C2" s="33" t="inlineStr">
        <is>
          <t>Last Name</t>
        </is>
      </c>
      <c r="D2" s="33" t="inlineStr">
        <is>
          <t>Institution</t>
        </is>
      </c>
      <c r="E2" s="33" t="inlineStr">
        <is>
          <t>PhD Field</t>
        </is>
      </c>
      <c r="F2" s="33" t="inlineStr">
        <is>
          <t>Fit</t>
        </is>
      </c>
      <c r="G2" s="33" t="inlineStr">
        <is>
          <t>Priority</t>
        </is>
      </c>
      <c r="H2" s="33" t="inlineStr">
        <is>
          <t>Email</t>
        </is>
      </c>
      <c r="I2" s="33" t="inlineStr">
        <is>
          <t>Date Added</t>
        </is>
      </c>
      <c r="J2" s="33" t="inlineStr">
        <is>
          <t>Date Contacted</t>
        </is>
      </c>
      <c r="K2" s="33" t="inlineStr">
        <is>
          <t>Follow-up Sent</t>
        </is>
      </c>
      <c r="L2" s="33" t="inlineStr">
        <is>
          <t>Status</t>
        </is>
      </c>
      <c r="M2" s="33" t="inlineStr">
        <is>
          <t>Last Contact</t>
        </is>
      </c>
      <c r="N2" s="33" t="inlineStr">
        <is>
          <t>Next Follow-Up</t>
        </is>
      </c>
      <c r="O2" s="33" t="inlineStr">
        <is>
          <t>Notes</t>
        </is>
      </c>
      <c r="P2" s="33" t="inlineStr">
        <is>
          <t>Est. Value ($)</t>
        </is>
      </c>
      <c r="Q2" s="33" t="inlineStr">
        <is>
          <t>Actual Rev ($)</t>
        </is>
      </c>
      <c r="R2" s="33" t="inlineStr">
        <is>
          <t>Days Since Contact</t>
        </is>
      </c>
      <c r="S2" s="33" t="inlineStr">
        <is>
          <t>Source</t>
        </is>
      </c>
    </row>
    <row r="3" ht="18" customHeight="1" s="31">
      <c r="A3" s="34" t="n">
        <v>1</v>
      </c>
      <c r="B3" s="34" t="inlineStr">
        <is>
          <t>Existing</t>
        </is>
      </c>
      <c r="C3" s="34" t="inlineStr">
        <is>
          <t>Client</t>
        </is>
      </c>
      <c r="D3" s="34" t="inlineStr">
        <is>
          <t>Duquesne University</t>
        </is>
      </c>
      <c r="E3" s="34" t="inlineStr">
        <is>
          <t>Psychology PhD</t>
        </is>
      </c>
      <c r="F3" s="35" t="inlineStr">
        <is>
          <t>High</t>
        </is>
      </c>
      <c r="G3" s="35" t="inlineStr">
        <is>
          <t>High</t>
        </is>
      </c>
      <c r="H3" s="34" t="inlineStr">
        <is>
          <t>client@duq.edu</t>
        </is>
      </c>
      <c r="I3" s="34" t="inlineStr">
        <is>
          <t>2025-07-01</t>
        </is>
      </c>
      <c r="J3" s="34" t="inlineStr">
        <is>
          <t>2026-03-15</t>
        </is>
      </c>
      <c r="K3" s="34" t="inlineStr">
        <is>
          <t>YES</t>
        </is>
      </c>
      <c r="L3" s="36" t="inlineStr">
        <is>
          <t>Active Client</t>
        </is>
      </c>
      <c r="M3" s="34" t="inlineStr">
        <is>
          <t>2026-03-15</t>
        </is>
      </c>
      <c r="N3" s="34" t="n"/>
      <c r="O3" s="34" t="inlineStr">
        <is>
          <t>Race IAT study — full delivery. Request referrals.</t>
        </is>
      </c>
      <c r="P3" s="34" t="n">
        <v>4500</v>
      </c>
      <c r="Q3" s="34" t="n">
        <v>4500</v>
      </c>
      <c r="R3" s="37">
        <f>IF(J3="","",TODAY()-DATE(LEFT(J3,4)*1,MID(J3,6,2)*1,RIGHT(J3,2)*1))</f>
        <v/>
      </c>
    </row>
    <row r="4" ht="18" customHeight="1" s="31">
      <c r="A4" s="38" t="n">
        <v>2</v>
      </c>
      <c r="B4" s="38" t="inlineStr">
        <is>
          <t>Department</t>
        </is>
      </c>
      <c r="C4" s="38" t="inlineStr">
        <is>
          <t>Head</t>
        </is>
      </c>
      <c r="D4" s="38" t="inlineStr">
        <is>
          <t>Thomas Jefferson University</t>
        </is>
      </c>
      <c r="E4" s="38" t="inlineStr">
        <is>
          <t>Nursing PhD</t>
        </is>
      </c>
      <c r="F4" s="35" t="inlineStr">
        <is>
          <t>High</t>
        </is>
      </c>
      <c r="G4" s="35" t="inlineStr">
        <is>
          <t>High</t>
        </is>
      </c>
      <c r="H4" s="38" t="n"/>
      <c r="I4" s="38" t="inlineStr">
        <is>
          <t>2026-04-02</t>
        </is>
      </c>
      <c r="J4" s="38" t="inlineStr">
        <is>
          <t>2026-04-02</t>
        </is>
      </c>
      <c r="K4" s="38" t="inlineStr">
        <is>
          <t>YES</t>
        </is>
      </c>
      <c r="L4" s="39" t="inlineStr">
        <is>
          <t>Nurture</t>
        </is>
      </c>
      <c r="M4" s="38" t="inlineStr">
        <is>
          <t>2026-04-02</t>
        </is>
      </c>
      <c r="N4" s="38" t="inlineStr">
        <is>
          <t>2026-07-01</t>
        </is>
      </c>
      <c r="O4" s="38" t="inlineStr">
        <is>
          <t>First dissertations ~1 year out. Quarterly check-in.</t>
        </is>
      </c>
      <c r="P4" s="38" t="n">
        <v>3000</v>
      </c>
      <c r="Q4" s="38" t="n">
        <v>0</v>
      </c>
      <c r="R4" s="40">
        <f>IF(J4="","",TODAY()-DATE(LEFT(J4,4)*1,MID(J4,6,2)*1,RIGHT(J4,2)*1))</f>
        <v/>
      </c>
    </row>
    <row r="5" ht="18" customHeight="1" s="31">
      <c r="A5" s="34" t="n">
        <v>3</v>
      </c>
      <c r="B5" s="34" t="inlineStr">
        <is>
          <t>Tory</t>
        </is>
      </c>
      <c r="C5" s="34" t="inlineStr">
        <is>
          <t>Benson</t>
        </is>
      </c>
      <c r="D5" s="34" t="inlineStr">
        <is>
          <t>Rutgers University - New Brunswick</t>
        </is>
      </c>
      <c r="E5" s="34" t="inlineStr">
        <is>
          <t>Social Psychology</t>
        </is>
      </c>
      <c r="F5" s="35" t="inlineStr">
        <is>
          <t>High</t>
        </is>
      </c>
      <c r="G5" s="35" t="inlineStr">
        <is>
          <t>High</t>
        </is>
      </c>
      <c r="H5" s="34" t="inlineStr">
        <is>
          <t>tgb54@scarletmail.rutgers.edu</t>
        </is>
      </c>
      <c r="I5" s="34" t="inlineStr">
        <is>
          <t>2026-04-02</t>
        </is>
      </c>
      <c r="J5" s="34" t="inlineStr">
        <is>
          <t>2026-04-02</t>
        </is>
      </c>
      <c r="K5" s="34" t="inlineStr">
        <is>
          <t>YES</t>
        </is>
      </c>
      <c r="L5" s="36" t="inlineStr">
        <is>
          <t>Contacted</t>
        </is>
      </c>
      <c r="M5" s="34" t="inlineStr">
        <is>
          <t>2026-04-02</t>
        </is>
      </c>
      <c r="N5" s="34" t="n"/>
      <c r="O5" s="34" t="n"/>
      <c r="P5" s="34" t="n">
        <v>2500</v>
      </c>
      <c r="Q5" s="34" t="n">
        <v>0</v>
      </c>
      <c r="R5" s="37">
        <f>IF(J5="","",TODAY()-DATE(LEFT(J5,4)*1,MID(J5,6,2)*1,RIGHT(J5,2)*1))</f>
        <v/>
      </c>
    </row>
    <row r="6" ht="18" customHeight="1" s="31">
      <c r="A6" s="38" t="n">
        <v>4</v>
      </c>
      <c r="B6" s="38" t="inlineStr">
        <is>
          <t>Noah</t>
        </is>
      </c>
      <c r="C6" s="38" t="inlineStr">
        <is>
          <t>Booker</t>
        </is>
      </c>
      <c r="D6" s="38" t="inlineStr">
        <is>
          <t>Rutgers University - New Brunswick</t>
        </is>
      </c>
      <c r="E6" s="38" t="inlineStr">
        <is>
          <t>Social Psychology</t>
        </is>
      </c>
      <c r="F6" s="35" t="inlineStr">
        <is>
          <t>High</t>
        </is>
      </c>
      <c r="G6" s="35" t="inlineStr">
        <is>
          <t>High</t>
        </is>
      </c>
      <c r="H6" s="38" t="inlineStr">
        <is>
          <t>nb1157@rutgers.edu</t>
        </is>
      </c>
      <c r="I6" s="38" t="inlineStr">
        <is>
          <t>2026-04-02</t>
        </is>
      </c>
      <c r="J6" s="38" t="n"/>
      <c r="K6" s="38" t="inlineStr">
        <is>
          <t>NO</t>
        </is>
      </c>
      <c r="L6" s="39" t="inlineStr">
        <is>
          <t>New Lead</t>
        </is>
      </c>
      <c r="M6" s="38" t="n"/>
      <c r="N6" s="38" t="n"/>
      <c r="O6" s="38" t="n"/>
      <c r="P6" s="38" t="n">
        <v>2500</v>
      </c>
      <c r="Q6" s="38" t="n">
        <v>0</v>
      </c>
      <c r="R6" s="40">
        <f>IF(J6="","",TODAY()-DATE(LEFT(J6,4)*1,MID(J6,6,2)*1,RIGHT(J6,2)*1))</f>
        <v/>
      </c>
    </row>
    <row r="7" ht="18" customHeight="1" s="31">
      <c r="A7" s="34" t="n">
        <v>5</v>
      </c>
      <c r="B7" s="34" t="inlineStr">
        <is>
          <t>Clara</t>
        </is>
      </c>
      <c r="C7" s="34" t="inlineStr">
        <is>
          <t>Civiero</t>
        </is>
      </c>
      <c r="D7" s="34" t="inlineStr">
        <is>
          <t>Rutgers University - New Brunswick</t>
        </is>
      </c>
      <c r="E7" s="34" t="inlineStr">
        <is>
          <t>Social Psychology</t>
        </is>
      </c>
      <c r="F7" s="35" t="inlineStr">
        <is>
          <t>High</t>
        </is>
      </c>
      <c r="G7" s="35" t="inlineStr">
        <is>
          <t>High</t>
        </is>
      </c>
      <c r="H7" s="34" t="inlineStr">
        <is>
          <t>clara.civiero@rutgers.edu</t>
        </is>
      </c>
      <c r="I7" s="34" t="inlineStr">
        <is>
          <t>2026-04-02</t>
        </is>
      </c>
      <c r="J7" s="34" t="n"/>
      <c r="K7" s="34" t="inlineStr">
        <is>
          <t>NO</t>
        </is>
      </c>
      <c r="L7" s="36" t="inlineStr">
        <is>
          <t>New Lead</t>
        </is>
      </c>
      <c r="M7" s="34" t="n"/>
      <c r="N7" s="34" t="n"/>
      <c r="O7" s="34" t="n"/>
      <c r="P7" s="34" t="n">
        <v>2500</v>
      </c>
      <c r="Q7" s="34" t="n">
        <v>0</v>
      </c>
      <c r="R7" s="37">
        <f>IF(J7="","",TODAY()-DATE(LEFT(J7,4)*1,MID(J7,6,2)*1,RIGHT(J7,2)*1))</f>
        <v/>
      </c>
    </row>
    <row r="8" ht="18" customHeight="1" s="31">
      <c r="A8" s="38" t="n">
        <v>6</v>
      </c>
      <c r="B8" s="38" t="inlineStr">
        <is>
          <t>William</t>
        </is>
      </c>
      <c r="C8" s="38" t="inlineStr">
        <is>
          <t>Coleman</t>
        </is>
      </c>
      <c r="D8" s="38" t="inlineStr">
        <is>
          <t>Rutgers University - New Brunswick</t>
        </is>
      </c>
      <c r="E8" s="38" t="inlineStr">
        <is>
          <t>Social Psychology</t>
        </is>
      </c>
      <c r="F8" s="35" t="inlineStr">
        <is>
          <t>High</t>
        </is>
      </c>
      <c r="G8" s="35" t="inlineStr">
        <is>
          <t>High</t>
        </is>
      </c>
      <c r="H8" s="38" t="inlineStr">
        <is>
          <t>willy.coleman@rutgers.edu</t>
        </is>
      </c>
      <c r="I8" s="38" t="inlineStr">
        <is>
          <t>2026-04-02</t>
        </is>
      </c>
      <c r="J8" s="38" t="n"/>
      <c r="K8" s="38" t="inlineStr">
        <is>
          <t>NO</t>
        </is>
      </c>
      <c r="L8" s="39" t="inlineStr">
        <is>
          <t>New Lead</t>
        </is>
      </c>
      <c r="M8" s="38" t="n"/>
      <c r="N8" s="38" t="n"/>
      <c r="O8" s="38" t="n"/>
      <c r="P8" s="38" t="n">
        <v>2500</v>
      </c>
      <c r="Q8" s="38" t="n">
        <v>0</v>
      </c>
      <c r="R8" s="40">
        <f>IF(J8="","",TODAY()-DATE(LEFT(J8,4)*1,MID(J8,6,2)*1,RIGHT(J8,2)*1))</f>
        <v/>
      </c>
    </row>
    <row r="9" ht="18" customHeight="1" s="31">
      <c r="A9" s="34" t="n">
        <v>7</v>
      </c>
      <c r="B9" s="34" t="inlineStr">
        <is>
          <t>Erin</t>
        </is>
      </c>
      <c r="C9" s="34" t="inlineStr">
        <is>
          <t>Foy</t>
        </is>
      </c>
      <c r="D9" s="34" t="inlineStr">
        <is>
          <t>Rutgers University - New Brunswick</t>
        </is>
      </c>
      <c r="E9" s="34" t="inlineStr">
        <is>
          <t>Social Psychology</t>
        </is>
      </c>
      <c r="F9" s="35" t="inlineStr">
        <is>
          <t>High</t>
        </is>
      </c>
      <c r="G9" s="35" t="inlineStr">
        <is>
          <t>High</t>
        </is>
      </c>
      <c r="H9" s="34" t="inlineStr">
        <is>
          <t>erin.foy@rutgers.edu</t>
        </is>
      </c>
      <c r="I9" s="34" t="inlineStr">
        <is>
          <t>2026-04-02</t>
        </is>
      </c>
      <c r="J9" s="34" t="n"/>
      <c r="K9" s="34" t="inlineStr">
        <is>
          <t>NO</t>
        </is>
      </c>
      <c r="L9" s="36" t="inlineStr">
        <is>
          <t>New Lead</t>
        </is>
      </c>
      <c r="M9" s="34" t="n"/>
      <c r="N9" s="34" t="n"/>
      <c r="O9" s="34" t="n"/>
      <c r="P9" s="34" t="n">
        <v>2500</v>
      </c>
      <c r="Q9" s="34" t="n">
        <v>0</v>
      </c>
      <c r="R9" s="37">
        <f>IF(J9="","",TODAY()-DATE(LEFT(J9,4)*1,MID(J9,6,2)*1,RIGHT(J9,2)*1))</f>
        <v/>
      </c>
    </row>
    <row r="10" ht="18" customHeight="1" s="31">
      <c r="A10" s="38" t="n">
        <v>8</v>
      </c>
      <c r="B10" s="38" t="inlineStr">
        <is>
          <t>Tamara</t>
        </is>
      </c>
      <c r="C10" s="38" t="inlineStr">
        <is>
          <t>Franklin</t>
        </is>
      </c>
      <c r="D10" s="38" t="inlineStr">
        <is>
          <t>Rutgers University - New Brunswick</t>
        </is>
      </c>
      <c r="E10" s="38" t="inlineStr">
        <is>
          <t>Social Psychology</t>
        </is>
      </c>
      <c r="F10" s="35" t="inlineStr">
        <is>
          <t>High</t>
        </is>
      </c>
      <c r="G10" s="35" t="inlineStr">
        <is>
          <t>High</t>
        </is>
      </c>
      <c r="H10" s="38" t="inlineStr">
        <is>
          <t>tamara.franklin@rutgers.edu</t>
        </is>
      </c>
      <c r="I10" s="38" t="inlineStr">
        <is>
          <t>2026-04-02</t>
        </is>
      </c>
      <c r="J10" s="38" t="n"/>
      <c r="K10" s="38" t="inlineStr">
        <is>
          <t>NO</t>
        </is>
      </c>
      <c r="L10" s="39" t="inlineStr">
        <is>
          <t>New Lead</t>
        </is>
      </c>
      <c r="M10" s="38" t="n"/>
      <c r="N10" s="38" t="n"/>
      <c r="O10" s="38" t="n"/>
      <c r="P10" s="38" t="n">
        <v>2500</v>
      </c>
      <c r="Q10" s="38" t="n">
        <v>0</v>
      </c>
      <c r="R10" s="40">
        <f>IF(J10="","",TODAY()-DATE(LEFT(J10,4)*1,MID(J10,6,2)*1,RIGHT(J10,2)*1))</f>
        <v/>
      </c>
    </row>
    <row r="11" ht="18" customHeight="1" s="31">
      <c r="A11" s="34" t="n">
        <v>9</v>
      </c>
      <c r="B11" s="34" t="inlineStr">
        <is>
          <t>Vanessa</t>
        </is>
      </c>
      <c r="C11" s="34" t="inlineStr">
        <is>
          <t>Hatton</t>
        </is>
      </c>
      <c r="D11" s="34" t="inlineStr">
        <is>
          <t>Rutgers University - New Brunswick</t>
        </is>
      </c>
      <c r="E11" s="34" t="inlineStr">
        <is>
          <t>Social Psychology</t>
        </is>
      </c>
      <c r="F11" s="35" t="inlineStr">
        <is>
          <t>High</t>
        </is>
      </c>
      <c r="G11" s="35" t="inlineStr">
        <is>
          <t>High</t>
        </is>
      </c>
      <c r="H11" s="34" t="inlineStr">
        <is>
          <t>v.hatton@rutgers.edu</t>
        </is>
      </c>
      <c r="I11" s="34" t="inlineStr">
        <is>
          <t>2026-04-02</t>
        </is>
      </c>
      <c r="J11" s="34" t="n"/>
      <c r="K11" s="34" t="inlineStr">
        <is>
          <t>NO</t>
        </is>
      </c>
      <c r="L11" s="36" t="inlineStr">
        <is>
          <t>New Lead</t>
        </is>
      </c>
      <c r="M11" s="34" t="n"/>
      <c r="N11" s="34" t="n"/>
      <c r="O11" s="34" t="n"/>
      <c r="P11" s="34" t="n">
        <v>2500</v>
      </c>
      <c r="Q11" s="34" t="n">
        <v>0</v>
      </c>
      <c r="R11" s="37">
        <f>IF(J11="","",TODAY()-DATE(LEFT(J11,4)*1,MID(J11,6,2)*1,RIGHT(J11,2)*1))</f>
        <v/>
      </c>
    </row>
    <row r="12" ht="18" customHeight="1" s="31">
      <c r="A12" s="38" t="n">
        <v>10</v>
      </c>
      <c r="B12" s="38" t="inlineStr">
        <is>
          <t>Selin</t>
        </is>
      </c>
      <c r="C12" s="38" t="inlineStr">
        <is>
          <t>Toprakkiran</t>
        </is>
      </c>
      <c r="D12" s="38" t="inlineStr">
        <is>
          <t>Rutgers University - New Brunswick</t>
        </is>
      </c>
      <c r="E12" s="38" t="inlineStr">
        <is>
          <t>Social Psychology</t>
        </is>
      </c>
      <c r="F12" s="35" t="inlineStr">
        <is>
          <t>High</t>
        </is>
      </c>
      <c r="G12" s="35" t="inlineStr">
        <is>
          <t>High</t>
        </is>
      </c>
      <c r="H12" s="38" t="inlineStr">
        <is>
          <t>selin.t@rutgers.edu</t>
        </is>
      </c>
      <c r="I12" s="38" t="inlineStr">
        <is>
          <t>2026-04-02</t>
        </is>
      </c>
      <c r="J12" s="38" t="n"/>
      <c r="K12" s="38" t="inlineStr">
        <is>
          <t>NO</t>
        </is>
      </c>
      <c r="L12" s="39" t="inlineStr">
        <is>
          <t>New Lead</t>
        </is>
      </c>
      <c r="M12" s="38" t="n"/>
      <c r="N12" s="38" t="n"/>
      <c r="O12" s="38" t="n"/>
      <c r="P12" s="38" t="n">
        <v>2500</v>
      </c>
      <c r="Q12" s="38" t="n">
        <v>0</v>
      </c>
      <c r="R12" s="40">
        <f>IF(J12="","",TODAY()-DATE(LEFT(J12,4)*1,MID(J12,6,2)*1,RIGHT(J12,2)*1))</f>
        <v/>
      </c>
    </row>
    <row r="13" ht="18" customHeight="1" s="31">
      <c r="A13" s="34" t="n">
        <v>11</v>
      </c>
      <c r="B13" s="34" t="inlineStr">
        <is>
          <t>Grace</t>
        </is>
      </c>
      <c r="C13" s="34" t="inlineStr">
        <is>
          <t>Wetzel</t>
        </is>
      </c>
      <c r="D13" s="34" t="inlineStr">
        <is>
          <t>Rutgers University - New Brunswick</t>
        </is>
      </c>
      <c r="E13" s="34" t="inlineStr">
        <is>
          <t>Social Psychology</t>
        </is>
      </c>
      <c r="F13" s="35" t="inlineStr">
        <is>
          <t>High</t>
        </is>
      </c>
      <c r="G13" s="35" t="inlineStr">
        <is>
          <t>High</t>
        </is>
      </c>
      <c r="H13" s="34" t="inlineStr">
        <is>
          <t>grace.wetzel@rutgers.edu</t>
        </is>
      </c>
      <c r="I13" s="34" t="inlineStr">
        <is>
          <t>2026-04-02</t>
        </is>
      </c>
      <c r="J13" s="34" t="n"/>
      <c r="K13" s="34" t="inlineStr">
        <is>
          <t>NO</t>
        </is>
      </c>
      <c r="L13" s="36" t="inlineStr">
        <is>
          <t>New Lead</t>
        </is>
      </c>
      <c r="M13" s="34" t="n"/>
      <c r="N13" s="34" t="n"/>
      <c r="O13" s="34" t="n"/>
      <c r="P13" s="34" t="n">
        <v>2500</v>
      </c>
      <c r="Q13" s="34" t="n">
        <v>0</v>
      </c>
      <c r="R13" s="37">
        <f>IF(J13="","",TODAY()-DATE(LEFT(J13,4)*1,MID(J13,6,2)*1,RIGHT(J13,2)*1))</f>
        <v/>
      </c>
    </row>
    <row r="14" ht="18" customHeight="1" s="31">
      <c r="A14" s="38" t="n">
        <v>12</v>
      </c>
      <c r="B14" s="38" t="inlineStr">
        <is>
          <t>Sandra</t>
        </is>
      </c>
      <c r="C14" s="38" t="inlineStr">
        <is>
          <t>Manfreda</t>
        </is>
      </c>
      <c r="D14" s="38" t="inlineStr">
        <is>
          <t>Rutgers University - New Brunswick</t>
        </is>
      </c>
      <c r="E14" s="38" t="inlineStr">
        <is>
          <t>Social Psychology</t>
        </is>
      </c>
      <c r="F14" s="35" t="inlineStr">
        <is>
          <t>High</t>
        </is>
      </c>
      <c r="G14" s="35" t="inlineStr">
        <is>
          <t>High</t>
        </is>
      </c>
      <c r="H14" s="38" t="inlineStr">
        <is>
          <t>sandra.manfreda@rutgers.edu</t>
        </is>
      </c>
      <c r="I14" s="38" t="inlineStr">
        <is>
          <t>2026-04-02</t>
        </is>
      </c>
      <c r="J14" s="38" t="n"/>
      <c r="K14" s="38" t="inlineStr">
        <is>
          <t>NO</t>
        </is>
      </c>
      <c r="L14" s="39" t="inlineStr">
        <is>
          <t>New Lead</t>
        </is>
      </c>
      <c r="M14" s="38" t="n"/>
      <c r="N14" s="38" t="n"/>
      <c r="O14" s="38" t="n"/>
      <c r="P14" s="38" t="n">
        <v>2500</v>
      </c>
      <c r="Q14" s="38" t="n">
        <v>0</v>
      </c>
      <c r="R14" s="40">
        <f>IF(J14="","",TODAY()-DATE(LEFT(J14,4)*1,MID(J14,6,2)*1,RIGHT(J14,2)*1))</f>
        <v/>
      </c>
    </row>
    <row r="15" ht="18" customHeight="1" s="31">
      <c r="A15" s="34" t="n">
        <v>13</v>
      </c>
      <c r="B15" s="34" t="inlineStr">
        <is>
          <t>Alyssa</t>
        </is>
      </c>
      <c r="C15" s="34" t="inlineStr">
        <is>
          <t>Gagnon</t>
        </is>
      </c>
      <c r="D15" s="34" t="inlineStr">
        <is>
          <t>Rutgers University</t>
        </is>
      </c>
      <c r="E15" s="34" t="inlineStr">
        <is>
          <t>Well-Being Psychology</t>
        </is>
      </c>
      <c r="F15" s="35" t="inlineStr">
        <is>
          <t>High</t>
        </is>
      </c>
      <c r="G15" s="35" t="inlineStr">
        <is>
          <t>High</t>
        </is>
      </c>
      <c r="H15" s="34" t="inlineStr">
        <is>
          <t>alyssa.gagnon@rutgers.edu</t>
        </is>
      </c>
      <c r="I15" s="34" t="inlineStr">
        <is>
          <t>2026-04-02</t>
        </is>
      </c>
      <c r="J15" s="34" t="inlineStr">
        <is>
          <t>2026-04-02</t>
        </is>
      </c>
      <c r="K15" s="34" t="inlineStr">
        <is>
          <t>YES</t>
        </is>
      </c>
      <c r="L15" s="36" t="inlineStr">
        <is>
          <t>Contacted</t>
        </is>
      </c>
      <c r="M15" s="34" t="inlineStr">
        <is>
          <t>2026-04-02</t>
        </is>
      </c>
      <c r="N15" s="34" t="n"/>
      <c r="O15" s="34" t="n"/>
      <c r="P15" s="34" t="n">
        <v>2500</v>
      </c>
      <c r="Q15" s="34" t="n">
        <v>0</v>
      </c>
      <c r="R15" s="37">
        <f>IF(J15="","",TODAY()-DATE(LEFT(J15,4)*1,MID(J15,6,2)*1,RIGHT(J15,2)*1))</f>
        <v/>
      </c>
    </row>
    <row r="16" ht="18" customHeight="1" s="31">
      <c r="A16" s="38" t="n">
        <v>14</v>
      </c>
      <c r="B16" s="38" t="inlineStr">
        <is>
          <t>Rowan</t>
        </is>
      </c>
      <c r="C16" s="38" t="inlineStr">
        <is>
          <t>Kemmerly</t>
        </is>
      </c>
      <c r="D16" s="38" t="inlineStr">
        <is>
          <t>Rutgers University</t>
        </is>
      </c>
      <c r="E16" s="38" t="inlineStr">
        <is>
          <t>Well-Being Psychology</t>
        </is>
      </c>
      <c r="F16" s="35" t="inlineStr">
        <is>
          <t>High</t>
        </is>
      </c>
      <c r="G16" s="35" t="inlineStr">
        <is>
          <t>High</t>
        </is>
      </c>
      <c r="H16" s="38" t="inlineStr">
        <is>
          <t>rek102@psychology.rutgers.edu</t>
        </is>
      </c>
      <c r="I16" s="38" t="inlineStr">
        <is>
          <t>2026-04-02</t>
        </is>
      </c>
      <c r="J16" s="38" t="n"/>
      <c r="K16" s="38" t="inlineStr">
        <is>
          <t>NO</t>
        </is>
      </c>
      <c r="L16" s="39" t="inlineStr">
        <is>
          <t>New Lead</t>
        </is>
      </c>
      <c r="M16" s="38" t="n"/>
      <c r="N16" s="38" t="n"/>
      <c r="O16" s="38" t="n"/>
      <c r="P16" s="38" t="n">
        <v>2500</v>
      </c>
      <c r="Q16" s="38" t="n">
        <v>0</v>
      </c>
      <c r="R16" s="40">
        <f>IF(J16="","",TODAY()-DATE(LEFT(J16,4)*1,MID(J16,6,2)*1,RIGHT(J16,2)*1))</f>
        <v/>
      </c>
    </row>
    <row r="17" ht="18" customHeight="1" s="31">
      <c r="A17" s="34" t="n">
        <v>15</v>
      </c>
      <c r="B17" s="34" t="inlineStr">
        <is>
          <t>Elif</t>
        </is>
      </c>
      <c r="C17" s="34" t="inlineStr">
        <is>
          <t>Ulutas</t>
        </is>
      </c>
      <c r="D17" s="34" t="inlineStr">
        <is>
          <t>Rutgers University</t>
        </is>
      </c>
      <c r="E17" s="34" t="inlineStr">
        <is>
          <t>Well-Being / Health Psychology</t>
        </is>
      </c>
      <c r="F17" s="35" t="inlineStr">
        <is>
          <t>High</t>
        </is>
      </c>
      <c r="G17" s="35" t="inlineStr">
        <is>
          <t>High</t>
        </is>
      </c>
      <c r="H17" s="34" t="inlineStr">
        <is>
          <t>elif.ulutas@rutgers.edu</t>
        </is>
      </c>
      <c r="I17" s="34" t="inlineStr">
        <is>
          <t>2026-04-02</t>
        </is>
      </c>
      <c r="J17" s="34" t="n"/>
      <c r="K17" s="34" t="inlineStr">
        <is>
          <t>NO</t>
        </is>
      </c>
      <c r="L17" s="36" t="inlineStr">
        <is>
          <t>New Lead</t>
        </is>
      </c>
      <c r="M17" s="34" t="n"/>
      <c r="N17" s="34" t="n"/>
      <c r="O17" s="34" t="n"/>
      <c r="P17" s="34" t="n">
        <v>2500</v>
      </c>
      <c r="Q17" s="34" t="n">
        <v>0</v>
      </c>
      <c r="R17" s="37">
        <f>IF(J17="","",TODAY()-DATE(LEFT(J17,4)*1,MID(J17,6,2)*1,RIGHT(J17,2)*1))</f>
        <v/>
      </c>
    </row>
    <row r="18" ht="18" customHeight="1" s="31">
      <c r="A18" s="38" t="n">
        <v>16</v>
      </c>
      <c r="B18" s="38" t="inlineStr">
        <is>
          <t>Romi</t>
        </is>
      </c>
      <c r="C18" s="38" t="inlineStr">
        <is>
          <t>Paldi</t>
        </is>
      </c>
      <c r="D18" s="38" t="inlineStr">
        <is>
          <t>Rutgers University</t>
        </is>
      </c>
      <c r="E18" s="38" t="inlineStr">
        <is>
          <t>Social Development</t>
        </is>
      </c>
      <c r="F18" s="41" t="inlineStr">
        <is>
          <t>Medium</t>
        </is>
      </c>
      <c r="G18" s="35" t="inlineStr">
        <is>
          <t>High</t>
        </is>
      </c>
      <c r="H18" s="38" t="inlineStr">
        <is>
          <t>romi.paldi@rutgers.edu</t>
        </is>
      </c>
      <c r="I18" s="38" t="inlineStr">
        <is>
          <t>2026-04-02</t>
        </is>
      </c>
      <c r="J18" s="38" t="n"/>
      <c r="K18" s="38" t="inlineStr">
        <is>
          <t>NO</t>
        </is>
      </c>
      <c r="L18" s="39" t="inlineStr">
        <is>
          <t>New Lead</t>
        </is>
      </c>
      <c r="M18" s="38" t="n"/>
      <c r="N18" s="38" t="n"/>
      <c r="O18" s="38" t="n"/>
      <c r="P18" s="38" t="n">
        <v>2500</v>
      </c>
      <c r="Q18" s="38" t="n">
        <v>0</v>
      </c>
      <c r="R18" s="40">
        <f>IF(J18="","",TODAY()-DATE(LEFT(J18,4)*1,MID(J18,6,2)*1,RIGHT(J18,2)*1))</f>
        <v/>
      </c>
    </row>
    <row r="19" ht="18" customHeight="1" s="31">
      <c r="A19" s="34" t="n">
        <v>17</v>
      </c>
      <c r="B19" s="34" t="inlineStr">
        <is>
          <t>Mary</t>
        </is>
      </c>
      <c r="C19" s="34" t="inlineStr">
        <is>
          <t>Mousa</t>
        </is>
      </c>
      <c r="D19" s="34" t="inlineStr">
        <is>
          <t>Rutgers University</t>
        </is>
      </c>
      <c r="E19" s="34" t="inlineStr">
        <is>
          <t>Social Psychology</t>
        </is>
      </c>
      <c r="F19" s="35" t="inlineStr">
        <is>
          <t>High</t>
        </is>
      </c>
      <c r="G19" s="35" t="inlineStr">
        <is>
          <t>High</t>
        </is>
      </c>
      <c r="H19" s="34" t="inlineStr">
        <is>
          <t>msm299@rutgers.edu</t>
        </is>
      </c>
      <c r="I19" s="34" t="inlineStr">
        <is>
          <t>2026-04-02</t>
        </is>
      </c>
      <c r="J19" s="34" t="n"/>
      <c r="K19" s="34" t="inlineStr">
        <is>
          <t>NO</t>
        </is>
      </c>
      <c r="L19" s="36" t="inlineStr">
        <is>
          <t>New Lead</t>
        </is>
      </c>
      <c r="M19" s="34" t="n"/>
      <c r="N19" s="34" t="n"/>
      <c r="O19" s="34" t="n"/>
      <c r="P19" s="34" t="n">
        <v>2500</v>
      </c>
      <c r="Q19" s="34" t="n">
        <v>0</v>
      </c>
      <c r="R19" s="37">
        <f>IF(J19="","",TODAY()-DATE(LEFT(J19,4)*1,MID(J19,6,2)*1,RIGHT(J19,2)*1))</f>
        <v/>
      </c>
    </row>
    <row r="20" ht="18" customHeight="1" s="31">
      <c r="A20" s="38" t="n">
        <v>18</v>
      </c>
      <c r="B20" s="38" t="inlineStr">
        <is>
          <t>Sarah</t>
        </is>
      </c>
      <c r="C20" s="38" t="inlineStr">
        <is>
          <t>Zhong</t>
        </is>
      </c>
      <c r="D20" s="38" t="inlineStr">
        <is>
          <t>Rutgers University</t>
        </is>
      </c>
      <c r="E20" s="38" t="inlineStr">
        <is>
          <t>Social Psychology</t>
        </is>
      </c>
      <c r="F20" s="35" t="inlineStr">
        <is>
          <t>High</t>
        </is>
      </c>
      <c r="G20" s="35" t="inlineStr">
        <is>
          <t>High</t>
        </is>
      </c>
      <c r="H20" s="38" t="inlineStr">
        <is>
          <t>yining.zhong@rutgers.edu</t>
        </is>
      </c>
      <c r="I20" s="38" t="inlineStr">
        <is>
          <t>2026-04-02</t>
        </is>
      </c>
      <c r="J20" s="38" t="n"/>
      <c r="K20" s="38" t="inlineStr">
        <is>
          <t>NO</t>
        </is>
      </c>
      <c r="L20" s="39" t="inlineStr">
        <is>
          <t>New Lead</t>
        </is>
      </c>
      <c r="M20" s="38" t="n"/>
      <c r="N20" s="38" t="n"/>
      <c r="O20" s="38" t="n"/>
      <c r="P20" s="38" t="n">
        <v>2500</v>
      </c>
      <c r="Q20" s="38" t="n">
        <v>0</v>
      </c>
      <c r="R20" s="40">
        <f>IF(J20="","",TODAY()-DATE(LEFT(J20,4)*1,MID(J20,6,2)*1,RIGHT(J20,2)*1))</f>
        <v/>
      </c>
    </row>
    <row r="21" ht="18" customHeight="1" s="31">
      <c r="A21" s="34" t="n">
        <v>19</v>
      </c>
      <c r="B21" s="34" t="inlineStr">
        <is>
          <t>Amanda</t>
        </is>
      </c>
      <c r="C21" s="34" t="inlineStr">
        <is>
          <t>Nyakwada</t>
        </is>
      </c>
      <c r="D21" s="34" t="inlineStr">
        <is>
          <t>Rutgers University</t>
        </is>
      </c>
      <c r="E21" s="34" t="inlineStr">
        <is>
          <t>Decision-Making Psychology</t>
        </is>
      </c>
      <c r="F21" s="35" t="inlineStr">
        <is>
          <t>High</t>
        </is>
      </c>
      <c r="G21" s="35" t="inlineStr">
        <is>
          <t>High</t>
        </is>
      </c>
      <c r="H21" s="34" t="inlineStr">
        <is>
          <t>amanda.nyakwada@rutgers.edu</t>
        </is>
      </c>
      <c r="I21" s="34" t="inlineStr">
        <is>
          <t>2026-04-02</t>
        </is>
      </c>
      <c r="J21" s="34" t="n"/>
      <c r="K21" s="34" t="inlineStr">
        <is>
          <t>NO</t>
        </is>
      </c>
      <c r="L21" s="36" t="inlineStr">
        <is>
          <t>New Lead</t>
        </is>
      </c>
      <c r="M21" s="34" t="n"/>
      <c r="N21" s="34" t="n"/>
      <c r="O21" s="34" t="n"/>
      <c r="P21" s="34" t="n">
        <v>2500</v>
      </c>
      <c r="Q21" s="34" t="n">
        <v>0</v>
      </c>
      <c r="R21" s="37">
        <f>IF(J21="","",TODAY()-DATE(LEFT(J21,4)*1,MID(J21,6,2)*1,RIGHT(J21,2)*1))</f>
        <v/>
      </c>
    </row>
    <row r="22" ht="18" customHeight="1" s="31">
      <c r="A22" s="38" t="n">
        <v>20</v>
      </c>
      <c r="B22" s="38" t="inlineStr">
        <is>
          <t>Darian</t>
        </is>
      </c>
      <c r="C22" s="38" t="inlineStr">
        <is>
          <t>Raizberg</t>
        </is>
      </c>
      <c r="D22" s="38" t="inlineStr">
        <is>
          <t>Rutgers University</t>
        </is>
      </c>
      <c r="E22" s="38" t="inlineStr">
        <is>
          <t>Decision-Making Psychology</t>
        </is>
      </c>
      <c r="F22" s="35" t="inlineStr">
        <is>
          <t>High</t>
        </is>
      </c>
      <c r="G22" s="35" t="inlineStr">
        <is>
          <t>High</t>
        </is>
      </c>
      <c r="H22" s="38" t="inlineStr">
        <is>
          <t>darian.raizberg@rutgers.edu</t>
        </is>
      </c>
      <c r="I22" s="38" t="inlineStr">
        <is>
          <t>2026-04-02</t>
        </is>
      </c>
      <c r="J22" s="38" t="n"/>
      <c r="K22" s="38" t="inlineStr">
        <is>
          <t>NO</t>
        </is>
      </c>
      <c r="L22" s="39" t="inlineStr">
        <is>
          <t>New Lead</t>
        </is>
      </c>
      <c r="M22" s="38" t="n"/>
      <c r="N22" s="38" t="n"/>
      <c r="O22" s="38" t="n"/>
      <c r="P22" s="38" t="n">
        <v>2500</v>
      </c>
      <c r="Q22" s="38" t="n">
        <v>0</v>
      </c>
      <c r="R22" s="40">
        <f>IF(J22="","",TODAY()-DATE(LEFT(J22,4)*1,MID(J22,6,2)*1,RIGHT(J22,2)*1))</f>
        <v/>
      </c>
    </row>
    <row r="23" ht="18" customHeight="1" s="31">
      <c r="A23" s="34" t="n">
        <v>21</v>
      </c>
      <c r="B23" s="34" t="inlineStr">
        <is>
          <t>Larissa</t>
        </is>
      </c>
      <c r="C23" s="34" t="inlineStr">
        <is>
          <t>Allen</t>
        </is>
      </c>
      <c r="D23" s="34" t="inlineStr">
        <is>
          <t>University of Pittsburgh</t>
        </is>
      </c>
      <c r="E23" s="34" t="inlineStr">
        <is>
          <t>Nursing / Suicide Research</t>
        </is>
      </c>
      <c r="F23" s="35" t="inlineStr">
        <is>
          <t>High</t>
        </is>
      </c>
      <c r="G23" s="35" t="inlineStr">
        <is>
          <t>High</t>
        </is>
      </c>
      <c r="H23" s="34" t="inlineStr">
        <is>
          <t>lca16@pitt.edu</t>
        </is>
      </c>
      <c r="I23" s="34" t="inlineStr">
        <is>
          <t>2026-04-02</t>
        </is>
      </c>
      <c r="J23" s="34" t="inlineStr">
        <is>
          <t>2026-04-02</t>
        </is>
      </c>
      <c r="K23" s="34" t="inlineStr">
        <is>
          <t>YES</t>
        </is>
      </c>
      <c r="L23" s="36" t="inlineStr">
        <is>
          <t>Contacted</t>
        </is>
      </c>
      <c r="M23" s="34" t="inlineStr">
        <is>
          <t>2026-04-02</t>
        </is>
      </c>
      <c r="N23" s="34" t="n"/>
      <c r="O23" s="34" t="n"/>
      <c r="P23" s="34" t="n">
        <v>2500</v>
      </c>
      <c r="Q23" s="34" t="n">
        <v>0</v>
      </c>
      <c r="R23" s="37">
        <f>IF(J23="","",TODAY()-DATE(LEFT(J23,4)*1,MID(J23,6,2)*1,RIGHT(J23,2)*1))</f>
        <v/>
      </c>
    </row>
    <row r="24" ht="18" customHeight="1" s="31">
      <c r="A24" s="38" t="n">
        <v>22</v>
      </c>
      <c r="B24" s="38" t="inlineStr">
        <is>
          <t>Katherine</t>
        </is>
      </c>
      <c r="C24" s="38" t="inlineStr">
        <is>
          <t>Cahir</t>
        </is>
      </c>
      <c r="D24" s="38" t="inlineStr">
        <is>
          <t>University of Pittsburgh</t>
        </is>
      </c>
      <c r="E24" s="38" t="inlineStr">
        <is>
          <t>Nursing / Health Equity</t>
        </is>
      </c>
      <c r="F24" s="35" t="inlineStr">
        <is>
          <t>High</t>
        </is>
      </c>
      <c r="G24" s="35" t="inlineStr">
        <is>
          <t>High</t>
        </is>
      </c>
      <c r="H24" s="38" t="inlineStr">
        <is>
          <t>kmc294@pitt.edu</t>
        </is>
      </c>
      <c r="I24" s="38" t="inlineStr">
        <is>
          <t>2026-04-02</t>
        </is>
      </c>
      <c r="J24" s="38" t="n"/>
      <c r="K24" s="38" t="inlineStr">
        <is>
          <t>NO</t>
        </is>
      </c>
      <c r="L24" s="39" t="inlineStr">
        <is>
          <t>New Lead</t>
        </is>
      </c>
      <c r="M24" s="38" t="n"/>
      <c r="N24" s="38" t="n"/>
      <c r="O24" s="38" t="n"/>
      <c r="P24" s="38" t="n">
        <v>2500</v>
      </c>
      <c r="Q24" s="38" t="n">
        <v>0</v>
      </c>
      <c r="R24" s="40">
        <f>IF(J24="","",TODAY()-DATE(LEFT(J24,4)*1,MID(J24,6,2)*1,RIGHT(J24,2)*1))</f>
        <v/>
      </c>
    </row>
    <row r="25" ht="18" customHeight="1" s="31">
      <c r="A25" s="34" t="n">
        <v>23</v>
      </c>
      <c r="B25" s="34" t="inlineStr">
        <is>
          <t>Sondos</t>
        </is>
      </c>
      <c r="C25" s="34" t="inlineStr">
        <is>
          <t>Eqylan</t>
        </is>
      </c>
      <c r="D25" s="34" t="inlineStr">
        <is>
          <t>University of Pittsburgh</t>
        </is>
      </c>
      <c r="E25" s="34" t="inlineStr">
        <is>
          <t>Nursing / Caregiving Science</t>
        </is>
      </c>
      <c r="F25" s="35" t="inlineStr">
        <is>
          <t>High</t>
        </is>
      </c>
      <c r="G25" s="35" t="inlineStr">
        <is>
          <t>High</t>
        </is>
      </c>
      <c r="H25" s="34" t="inlineStr">
        <is>
          <t>sbe14@pitt.edu</t>
        </is>
      </c>
      <c r="I25" s="34" t="inlineStr">
        <is>
          <t>2026-04-02</t>
        </is>
      </c>
      <c r="J25" s="34" t="n"/>
      <c r="K25" s="34" t="inlineStr">
        <is>
          <t>NO</t>
        </is>
      </c>
      <c r="L25" s="36" t="inlineStr">
        <is>
          <t>New Lead</t>
        </is>
      </c>
      <c r="M25" s="34" t="n"/>
      <c r="N25" s="34" t="n"/>
      <c r="O25" s="34" t="n"/>
      <c r="P25" s="34" t="n">
        <v>2500</v>
      </c>
      <c r="Q25" s="34" t="n">
        <v>0</v>
      </c>
      <c r="R25" s="37">
        <f>IF(J25="","",TODAY()-DATE(LEFT(J25,4)*1,MID(J25,6,2)*1,RIGHT(J25,2)*1))</f>
        <v/>
      </c>
    </row>
    <row r="26" ht="18" customHeight="1" s="31">
      <c r="A26" s="38" t="n">
        <v>24</v>
      </c>
      <c r="B26" s="38" t="inlineStr">
        <is>
          <t>Emily</t>
        </is>
      </c>
      <c r="C26" s="38" t="inlineStr">
        <is>
          <t>He</t>
        </is>
      </c>
      <c r="D26" s="38" t="inlineStr">
        <is>
          <t>University of Pittsburgh</t>
        </is>
      </c>
      <c r="E26" s="38" t="inlineStr">
        <is>
          <t>Nursing / Health Equity</t>
        </is>
      </c>
      <c r="F26" s="35" t="inlineStr">
        <is>
          <t>High</t>
        </is>
      </c>
      <c r="G26" s="35" t="inlineStr">
        <is>
          <t>High</t>
        </is>
      </c>
      <c r="H26" s="38" t="inlineStr">
        <is>
          <t>esh87@pitt.edu</t>
        </is>
      </c>
      <c r="I26" s="38" t="inlineStr">
        <is>
          <t>2026-04-02</t>
        </is>
      </c>
      <c r="J26" s="38" t="n"/>
      <c r="K26" s="38" t="inlineStr">
        <is>
          <t>NO</t>
        </is>
      </c>
      <c r="L26" s="39" t="inlineStr">
        <is>
          <t>New Lead</t>
        </is>
      </c>
      <c r="M26" s="38" t="n"/>
      <c r="N26" s="38" t="n"/>
      <c r="O26" s="38" t="n"/>
      <c r="P26" s="38" t="n">
        <v>2500</v>
      </c>
      <c r="Q26" s="38" t="n">
        <v>0</v>
      </c>
      <c r="R26" s="40">
        <f>IF(J26="","",TODAY()-DATE(LEFT(J26,4)*1,MID(J26,6,2)*1,RIGHT(J26,2)*1))</f>
        <v/>
      </c>
    </row>
    <row r="27" ht="18" customHeight="1" s="31">
      <c r="A27" s="34" t="n">
        <v>25</v>
      </c>
      <c r="B27" s="34" t="inlineStr">
        <is>
          <t>Rezvaneh</t>
        </is>
      </c>
      <c r="C27" s="34" t="inlineStr">
        <is>
          <t>Manzour</t>
        </is>
      </c>
      <c r="D27" s="34" t="inlineStr">
        <is>
          <t>University of Pittsburgh</t>
        </is>
      </c>
      <c r="E27" s="34" t="inlineStr">
        <is>
          <t>Nursing / Mental Health</t>
        </is>
      </c>
      <c r="F27" s="35" t="inlineStr">
        <is>
          <t>High</t>
        </is>
      </c>
      <c r="G27" s="35" t="inlineStr">
        <is>
          <t>High</t>
        </is>
      </c>
      <c r="H27" s="34" t="inlineStr">
        <is>
          <t>rem302@pitt.edu</t>
        </is>
      </c>
      <c r="I27" s="34" t="inlineStr">
        <is>
          <t>2026-04-02</t>
        </is>
      </c>
      <c r="J27" s="34" t="n"/>
      <c r="K27" s="34" t="inlineStr">
        <is>
          <t>NO</t>
        </is>
      </c>
      <c r="L27" s="36" t="inlineStr">
        <is>
          <t>New Lead</t>
        </is>
      </c>
      <c r="M27" s="34" t="n"/>
      <c r="N27" s="34" t="n"/>
      <c r="O27" s="34" t="n"/>
      <c r="P27" s="34" t="n">
        <v>2500</v>
      </c>
      <c r="Q27" s="34" t="n">
        <v>0</v>
      </c>
      <c r="R27" s="37">
        <f>IF(J27="","",TODAY()-DATE(LEFT(J27,4)*1,MID(J27,6,2)*1,RIGHT(J27,2)*1))</f>
        <v/>
      </c>
    </row>
    <row r="28" ht="18" customHeight="1" s="31">
      <c r="A28" s="38" t="n">
        <v>26</v>
      </c>
      <c r="B28" s="38" t="inlineStr">
        <is>
          <t>Mercy</t>
        </is>
      </c>
      <c r="C28" s="38" t="inlineStr">
        <is>
          <t>Opateye</t>
        </is>
      </c>
      <c r="D28" s="38" t="inlineStr">
        <is>
          <t>University of Pittsburgh</t>
        </is>
      </c>
      <c r="E28" s="38" t="inlineStr">
        <is>
          <t>Nursing / Maternal &amp; Child Health</t>
        </is>
      </c>
      <c r="F28" s="35" t="inlineStr">
        <is>
          <t>High</t>
        </is>
      </c>
      <c r="G28" s="35" t="inlineStr">
        <is>
          <t>High</t>
        </is>
      </c>
      <c r="H28" s="38" t="inlineStr">
        <is>
          <t>mao268@pitt.edu</t>
        </is>
      </c>
      <c r="I28" s="38" t="inlineStr">
        <is>
          <t>2026-04-02</t>
        </is>
      </c>
      <c r="J28" s="38" t="n"/>
      <c r="K28" s="38" t="inlineStr">
        <is>
          <t>NO</t>
        </is>
      </c>
      <c r="L28" s="39" t="inlineStr">
        <is>
          <t>New Lead</t>
        </is>
      </c>
      <c r="M28" s="38" t="n"/>
      <c r="N28" s="38" t="n"/>
      <c r="O28" s="38" t="n"/>
      <c r="P28" s="38" t="n">
        <v>2500</v>
      </c>
      <c r="Q28" s="38" t="n">
        <v>0</v>
      </c>
      <c r="R28" s="40">
        <f>IF(J28="","",TODAY()-DATE(LEFT(J28,4)*1,MID(J28,6,2)*1,RIGHT(J28,2)*1))</f>
        <v/>
      </c>
    </row>
    <row r="29" ht="18" customHeight="1" s="31">
      <c r="A29" s="34" t="n">
        <v>27</v>
      </c>
      <c r="B29" s="34" t="inlineStr">
        <is>
          <t>Morteza</t>
        </is>
      </c>
      <c r="C29" s="34" t="inlineStr">
        <is>
          <t>Shamsizadeh</t>
        </is>
      </c>
      <c r="D29" s="34" t="inlineStr">
        <is>
          <t>University of Pittsburgh</t>
        </is>
      </c>
      <c r="E29" s="34" t="inlineStr">
        <is>
          <t>Nursing / Palliative Care</t>
        </is>
      </c>
      <c r="F29" s="35" t="inlineStr">
        <is>
          <t>High</t>
        </is>
      </c>
      <c r="G29" s="35" t="inlineStr">
        <is>
          <t>High</t>
        </is>
      </c>
      <c r="H29" s="34" t="inlineStr">
        <is>
          <t>mortyzadeh@pitt.edu</t>
        </is>
      </c>
      <c r="I29" s="34" t="inlineStr">
        <is>
          <t>2026-04-02</t>
        </is>
      </c>
      <c r="J29" s="34" t="n"/>
      <c r="K29" s="34" t="inlineStr">
        <is>
          <t>NO</t>
        </is>
      </c>
      <c r="L29" s="36" t="inlineStr">
        <is>
          <t>New Lead</t>
        </is>
      </c>
      <c r="M29" s="34" t="n"/>
      <c r="N29" s="34" t="n"/>
      <c r="O29" s="34" t="n"/>
      <c r="P29" s="34" t="n">
        <v>2500</v>
      </c>
      <c r="Q29" s="34" t="n">
        <v>0</v>
      </c>
      <c r="R29" s="37">
        <f>IF(J29="","",TODAY()-DATE(LEFT(J29,4)*1,MID(J29,6,2)*1,RIGHT(J29,2)*1))</f>
        <v/>
      </c>
    </row>
    <row r="30" ht="18" customHeight="1" s="31">
      <c r="A30" s="38" t="n">
        <v>28</v>
      </c>
      <c r="B30" s="38" t="inlineStr">
        <is>
          <t>Kai-Lin</t>
        </is>
      </c>
      <c r="C30" s="38" t="inlineStr">
        <is>
          <t>You</t>
        </is>
      </c>
      <c r="D30" s="38" t="inlineStr">
        <is>
          <t>University of Pittsburgh</t>
        </is>
      </c>
      <c r="E30" s="38" t="inlineStr">
        <is>
          <t>Nursing / Cancer Survivorship</t>
        </is>
      </c>
      <c r="F30" s="35" t="inlineStr">
        <is>
          <t>High</t>
        </is>
      </c>
      <c r="G30" s="35" t="inlineStr">
        <is>
          <t>High</t>
        </is>
      </c>
      <c r="H30" s="38" t="inlineStr">
        <is>
          <t>kailinyou@pitt.edu</t>
        </is>
      </c>
      <c r="I30" s="38" t="inlineStr">
        <is>
          <t>2026-04-02</t>
        </is>
      </c>
      <c r="J30" s="38" t="n"/>
      <c r="K30" s="38" t="inlineStr">
        <is>
          <t>NO</t>
        </is>
      </c>
      <c r="L30" s="39" t="inlineStr">
        <is>
          <t>New Lead</t>
        </is>
      </c>
      <c r="M30" s="38" t="n"/>
      <c r="N30" s="38" t="n"/>
      <c r="O30" s="38" t="n"/>
      <c r="P30" s="38" t="n">
        <v>2500</v>
      </c>
      <c r="Q30" s="38" t="n">
        <v>0</v>
      </c>
      <c r="R30" s="40">
        <f>IF(J30="","",TODAY()-DATE(LEFT(J30,4)*1,MID(J30,6,2)*1,RIGHT(J30,2)*1))</f>
        <v/>
      </c>
    </row>
    <row r="31" ht="18" customHeight="1" s="31">
      <c r="A31" s="34" t="n">
        <v>29</v>
      </c>
      <c r="B31" s="34" t="inlineStr">
        <is>
          <t>Oluwadunsin</t>
        </is>
      </c>
      <c r="C31" s="34" t="inlineStr">
        <is>
          <t>(Esther) Akingbasote</t>
        </is>
      </c>
      <c r="D31" s="34" t="inlineStr">
        <is>
          <t>Penn State University</t>
        </is>
      </c>
      <c r="E31" s="34" t="inlineStr">
        <is>
          <t>Nursing / Health Equity</t>
        </is>
      </c>
      <c r="F31" s="35" t="inlineStr">
        <is>
          <t>High</t>
        </is>
      </c>
      <c r="G31" s="35" t="inlineStr">
        <is>
          <t>High</t>
        </is>
      </c>
      <c r="H31" s="34" t="inlineStr">
        <is>
          <t>kea5558@psu.edu</t>
        </is>
      </c>
      <c r="I31" s="34" t="inlineStr">
        <is>
          <t>2026-04-02</t>
        </is>
      </c>
      <c r="J31" s="34" t="inlineStr">
        <is>
          <t>2026-04-02</t>
        </is>
      </c>
      <c r="K31" s="34" t="inlineStr">
        <is>
          <t>YES</t>
        </is>
      </c>
      <c r="L31" s="36" t="inlineStr">
        <is>
          <t>Contacted</t>
        </is>
      </c>
      <c r="M31" s="34" t="inlineStr">
        <is>
          <t>2026-04-02</t>
        </is>
      </c>
      <c r="N31" s="34" t="n"/>
      <c r="O31" s="34" t="n"/>
      <c r="P31" s="34" t="n">
        <v>2500</v>
      </c>
      <c r="Q31" s="34" t="n">
        <v>0</v>
      </c>
      <c r="R31" s="37">
        <f>IF(J31="","",TODAY()-DATE(LEFT(J31,4)*1,MID(J31,6,2)*1,RIGHT(J31,2)*1))</f>
        <v/>
      </c>
    </row>
    <row r="32" ht="18" customHeight="1" s="31">
      <c r="A32" s="38" t="n">
        <v>30</v>
      </c>
      <c r="B32" s="38" t="inlineStr">
        <is>
          <t>Nahida</t>
        </is>
      </c>
      <c r="C32" s="38" t="inlineStr">
        <is>
          <t>Akter</t>
        </is>
      </c>
      <c r="D32" s="38" t="inlineStr">
        <is>
          <t>Penn State University</t>
        </is>
      </c>
      <c r="E32" s="38" t="inlineStr">
        <is>
          <t>Nursing / Global Health</t>
        </is>
      </c>
      <c r="F32" s="35" t="inlineStr">
        <is>
          <t>High</t>
        </is>
      </c>
      <c r="G32" s="35" t="inlineStr">
        <is>
          <t>High</t>
        </is>
      </c>
      <c r="H32" s="38" t="inlineStr">
        <is>
          <t>nfa5307@psu.edu</t>
        </is>
      </c>
      <c r="I32" s="38" t="inlineStr">
        <is>
          <t>2026-04-02</t>
        </is>
      </c>
      <c r="J32" s="38" t="n"/>
      <c r="K32" s="38" t="inlineStr">
        <is>
          <t>NO</t>
        </is>
      </c>
      <c r="L32" s="39" t="inlineStr">
        <is>
          <t>New Lead</t>
        </is>
      </c>
      <c r="M32" s="38" t="n"/>
      <c r="N32" s="38" t="n"/>
      <c r="O32" s="38" t="n"/>
      <c r="P32" s="38" t="n">
        <v>2500</v>
      </c>
      <c r="Q32" s="38" t="n">
        <v>0</v>
      </c>
      <c r="R32" s="40">
        <f>IF(J32="","",TODAY()-DATE(LEFT(J32,4)*1,MID(J32,6,2)*1,RIGHT(J32,2)*1))</f>
        <v/>
      </c>
    </row>
    <row r="33" ht="18" customHeight="1" s="31">
      <c r="A33" s="34" t="n">
        <v>31</v>
      </c>
      <c r="B33" s="34" t="inlineStr">
        <is>
          <t>John</t>
        </is>
      </c>
      <c r="C33" s="34" t="inlineStr">
        <is>
          <t>Akudugu</t>
        </is>
      </c>
      <c r="D33" s="34" t="inlineStr">
        <is>
          <t>Penn State University</t>
        </is>
      </c>
      <c r="E33" s="34" t="inlineStr">
        <is>
          <t>Nursing / Public Health</t>
        </is>
      </c>
      <c r="F33" s="35" t="inlineStr">
        <is>
          <t>High</t>
        </is>
      </c>
      <c r="G33" s="35" t="inlineStr">
        <is>
          <t>High</t>
        </is>
      </c>
      <c r="H33" s="34" t="inlineStr">
        <is>
          <t>jma7189@psu.edu</t>
        </is>
      </c>
      <c r="I33" s="34" t="inlineStr">
        <is>
          <t>2026-04-02</t>
        </is>
      </c>
      <c r="J33" s="34" t="n"/>
      <c r="K33" s="34" t="inlineStr">
        <is>
          <t>NO</t>
        </is>
      </c>
      <c r="L33" s="36" t="inlineStr">
        <is>
          <t>New Lead</t>
        </is>
      </c>
      <c r="M33" s="34" t="n"/>
      <c r="N33" s="34" t="n"/>
      <c r="O33" s="34" t="n"/>
      <c r="P33" s="34" t="n">
        <v>2500</v>
      </c>
      <c r="Q33" s="34" t="n">
        <v>0</v>
      </c>
      <c r="R33" s="37">
        <f>IF(J33="","",TODAY()-DATE(LEFT(J33,4)*1,MID(J33,6,2)*1,RIGHT(J33,2)*1))</f>
        <v/>
      </c>
    </row>
    <row r="34" ht="18" customHeight="1" s="31">
      <c r="A34" s="38" t="n">
        <v>32</v>
      </c>
      <c r="B34" s="38" t="inlineStr">
        <is>
          <t>Samiya</t>
        </is>
      </c>
      <c r="C34" s="38" t="inlineStr">
        <is>
          <t>Al Hadhrami</t>
        </is>
      </c>
      <c r="D34" s="38" t="inlineStr">
        <is>
          <t>Penn State University</t>
        </is>
      </c>
      <c r="E34" s="38" t="inlineStr">
        <is>
          <t>Nursing / Health Services</t>
        </is>
      </c>
      <c r="F34" s="35" t="inlineStr">
        <is>
          <t>High</t>
        </is>
      </c>
      <c r="G34" s="35" t="inlineStr">
        <is>
          <t>High</t>
        </is>
      </c>
      <c r="H34" s="38" t="inlineStr">
        <is>
          <t>sma7174@psu.edu</t>
        </is>
      </c>
      <c r="I34" s="38" t="inlineStr">
        <is>
          <t>2026-04-02</t>
        </is>
      </c>
      <c r="J34" s="38" t="n"/>
      <c r="K34" s="38" t="inlineStr">
        <is>
          <t>NO</t>
        </is>
      </c>
      <c r="L34" s="39" t="inlineStr">
        <is>
          <t>New Lead</t>
        </is>
      </c>
      <c r="M34" s="38" t="n"/>
      <c r="N34" s="38" t="n"/>
      <c r="O34" s="38" t="n"/>
      <c r="P34" s="38" t="n">
        <v>2500</v>
      </c>
      <c r="Q34" s="38" t="n">
        <v>0</v>
      </c>
      <c r="R34" s="40">
        <f>IF(J34="","",TODAY()-DATE(LEFT(J34,4)*1,MID(J34,6,2)*1,RIGHT(J34,2)*1))</f>
        <v/>
      </c>
    </row>
    <row r="35" ht="18" customHeight="1" s="31">
      <c r="A35" s="34" t="n">
        <v>33</v>
      </c>
      <c r="B35" s="34" t="inlineStr">
        <is>
          <t>Habiba</t>
        </is>
      </c>
      <c r="C35" s="34" t="inlineStr">
        <is>
          <t>AL Manji</t>
        </is>
      </c>
      <c r="D35" s="34" t="inlineStr">
        <is>
          <t>Penn State University</t>
        </is>
      </c>
      <c r="E35" s="34" t="inlineStr">
        <is>
          <t>Nursing / Caregiving</t>
        </is>
      </c>
      <c r="F35" s="35" t="inlineStr">
        <is>
          <t>High</t>
        </is>
      </c>
      <c r="G35" s="35" t="inlineStr">
        <is>
          <t>High</t>
        </is>
      </c>
      <c r="H35" s="34" t="inlineStr">
        <is>
          <t>hpa5265@psu.edu</t>
        </is>
      </c>
      <c r="I35" s="34" t="inlineStr">
        <is>
          <t>2026-04-02</t>
        </is>
      </c>
      <c r="J35" s="34" t="n"/>
      <c r="K35" s="34" t="inlineStr">
        <is>
          <t>NO</t>
        </is>
      </c>
      <c r="L35" s="36" t="inlineStr">
        <is>
          <t>New Lead</t>
        </is>
      </c>
      <c r="M35" s="34" t="n"/>
      <c r="N35" s="34" t="n"/>
      <c r="O35" s="34" t="n"/>
      <c r="P35" s="34" t="n">
        <v>2500</v>
      </c>
      <c r="Q35" s="34" t="n">
        <v>0</v>
      </c>
      <c r="R35" s="37">
        <f>IF(J35="","",TODAY()-DATE(LEFT(J35,4)*1,MID(J35,6,2)*1,RIGHT(J35,2)*1))</f>
        <v/>
      </c>
    </row>
    <row r="36" ht="18" customHeight="1" s="31">
      <c r="A36" s="38" t="n">
        <v>34</v>
      </c>
      <c r="B36" s="38" t="inlineStr">
        <is>
          <t>Comfort</t>
        </is>
      </c>
      <c r="C36" s="38" t="inlineStr">
        <is>
          <t>Asare</t>
        </is>
      </c>
      <c r="D36" s="38" t="inlineStr">
        <is>
          <t>Penn State University</t>
        </is>
      </c>
      <c r="E36" s="38" t="inlineStr">
        <is>
          <t>Nursing / Maternal &amp; Child Health</t>
        </is>
      </c>
      <c r="F36" s="35" t="inlineStr">
        <is>
          <t>High</t>
        </is>
      </c>
      <c r="G36" s="35" t="inlineStr">
        <is>
          <t>High</t>
        </is>
      </c>
      <c r="H36" s="38" t="inlineStr">
        <is>
          <t>cma6410@psu.edu</t>
        </is>
      </c>
      <c r="I36" s="38" t="inlineStr">
        <is>
          <t>2026-04-02</t>
        </is>
      </c>
      <c r="J36" s="38" t="n"/>
      <c r="K36" s="38" t="inlineStr">
        <is>
          <t>NO</t>
        </is>
      </c>
      <c r="L36" s="39" t="inlineStr">
        <is>
          <t>New Lead</t>
        </is>
      </c>
      <c r="M36" s="38" t="n"/>
      <c r="N36" s="38" t="n"/>
      <c r="O36" s="38" t="n"/>
      <c r="P36" s="38" t="n">
        <v>2500</v>
      </c>
      <c r="Q36" s="38" t="n">
        <v>0</v>
      </c>
      <c r="R36" s="40">
        <f>IF(J36="","",TODAY()-DATE(LEFT(J36,4)*1,MID(J36,6,2)*1,RIGHT(J36,2)*1))</f>
        <v/>
      </c>
    </row>
    <row r="37" ht="18" customHeight="1" s="31">
      <c r="A37" s="34" t="n">
        <v>35</v>
      </c>
      <c r="B37" s="34" t="inlineStr">
        <is>
          <t>Thakshila</t>
        </is>
      </c>
      <c r="C37" s="34" t="inlineStr">
        <is>
          <t>Dasanayake</t>
        </is>
      </c>
      <c r="D37" s="34" t="inlineStr">
        <is>
          <t>Penn State University</t>
        </is>
      </c>
      <c r="E37" s="34" t="inlineStr">
        <is>
          <t>Nursing / Behavioral Health</t>
        </is>
      </c>
      <c r="F37" s="35" t="inlineStr">
        <is>
          <t>High</t>
        </is>
      </c>
      <c r="G37" s="35" t="inlineStr">
        <is>
          <t>High</t>
        </is>
      </c>
      <c r="H37" s="34" t="inlineStr">
        <is>
          <t>tsd5277@psu.edu</t>
        </is>
      </c>
      <c r="I37" s="34" t="inlineStr">
        <is>
          <t>2026-04-02</t>
        </is>
      </c>
      <c r="J37" s="34" t="n"/>
      <c r="K37" s="34" t="inlineStr">
        <is>
          <t>NO</t>
        </is>
      </c>
      <c r="L37" s="36" t="inlineStr">
        <is>
          <t>New Lead</t>
        </is>
      </c>
      <c r="M37" s="34" t="n"/>
      <c r="N37" s="34" t="n"/>
      <c r="O37" s="34" t="n"/>
      <c r="P37" s="34" t="n">
        <v>2500</v>
      </c>
      <c r="Q37" s="34" t="n">
        <v>0</v>
      </c>
      <c r="R37" s="37">
        <f>IF(J37="","",TODAY()-DATE(LEFT(J37,4)*1,MID(J37,6,2)*1,RIGHT(J37,2)*1))</f>
        <v/>
      </c>
    </row>
    <row r="38" ht="18" customHeight="1" s="31">
      <c r="A38" s="38" t="n">
        <v>36</v>
      </c>
      <c r="B38" s="38" t="inlineStr">
        <is>
          <t>Myra</t>
        </is>
      </c>
      <c r="C38" s="38" t="inlineStr">
        <is>
          <t>DeLuca</t>
        </is>
      </c>
      <c r="D38" s="38" t="inlineStr">
        <is>
          <t>Penn State University</t>
        </is>
      </c>
      <c r="E38" s="38" t="inlineStr">
        <is>
          <t>Nursing / Clinical Outcomes</t>
        </is>
      </c>
      <c r="F38" s="35" t="inlineStr">
        <is>
          <t>High</t>
        </is>
      </c>
      <c r="G38" s="35" t="inlineStr">
        <is>
          <t>High</t>
        </is>
      </c>
      <c r="H38" s="38" t="inlineStr">
        <is>
          <t>mjj113@psu.edu</t>
        </is>
      </c>
      <c r="I38" s="38" t="inlineStr">
        <is>
          <t>2026-04-02</t>
        </is>
      </c>
      <c r="J38" s="38" t="n"/>
      <c r="K38" s="38" t="inlineStr">
        <is>
          <t>NO</t>
        </is>
      </c>
      <c r="L38" s="39" t="inlineStr">
        <is>
          <t>New Lead</t>
        </is>
      </c>
      <c r="M38" s="38" t="n"/>
      <c r="N38" s="38" t="n"/>
      <c r="O38" s="38" t="n"/>
      <c r="P38" s="38" t="n">
        <v>2500</v>
      </c>
      <c r="Q38" s="38" t="n">
        <v>0</v>
      </c>
      <c r="R38" s="40">
        <f>IF(J38="","",TODAY()-DATE(LEFT(J38,4)*1,MID(J38,6,2)*1,RIGHT(J38,2)*1))</f>
        <v/>
      </c>
    </row>
    <row r="39" ht="18" customHeight="1" s="31">
      <c r="A39" s="34" t="n">
        <v>37</v>
      </c>
      <c r="B39" s="34" t="inlineStr">
        <is>
          <t>Stephanie</t>
        </is>
      </c>
      <c r="C39" s="34" t="inlineStr">
        <is>
          <t>Gigous</t>
        </is>
      </c>
      <c r="D39" s="34" t="inlineStr">
        <is>
          <t>Penn State University</t>
        </is>
      </c>
      <c r="E39" s="34" t="inlineStr">
        <is>
          <t>Nursing / Health Research</t>
        </is>
      </c>
      <c r="F39" s="35" t="inlineStr">
        <is>
          <t>High</t>
        </is>
      </c>
      <c r="G39" s="35" t="inlineStr">
        <is>
          <t>High</t>
        </is>
      </c>
      <c r="H39" s="34" t="inlineStr">
        <is>
          <t>sln132@psu.edu</t>
        </is>
      </c>
      <c r="I39" s="34" t="inlineStr">
        <is>
          <t>2026-04-02</t>
        </is>
      </c>
      <c r="J39" s="34" t="n"/>
      <c r="K39" s="34" t="inlineStr">
        <is>
          <t>NO</t>
        </is>
      </c>
      <c r="L39" s="36" t="inlineStr">
        <is>
          <t>New Lead</t>
        </is>
      </c>
      <c r="M39" s="34" t="n"/>
      <c r="N39" s="34" t="n"/>
      <c r="O39" s="34" t="n"/>
      <c r="P39" s="34" t="n">
        <v>2500</v>
      </c>
      <c r="Q39" s="34" t="n">
        <v>0</v>
      </c>
      <c r="R39" s="37">
        <f>IF(J39="","",TODAY()-DATE(LEFT(J39,4)*1,MID(J39,6,2)*1,RIGHT(J39,2)*1))</f>
        <v/>
      </c>
    </row>
    <row r="40" ht="18" customHeight="1" s="31">
      <c r="A40" s="38" t="n">
        <v>38</v>
      </c>
      <c r="B40" s="38" t="inlineStr">
        <is>
          <t>Donya</t>
        </is>
      </c>
      <c r="C40" s="38" t="inlineStr">
        <is>
          <t>Hafezi Nia</t>
        </is>
      </c>
      <c r="D40" s="38" t="inlineStr">
        <is>
          <t>Penn State University</t>
        </is>
      </c>
      <c r="E40" s="38" t="inlineStr">
        <is>
          <t>Nursing / Health Informatics</t>
        </is>
      </c>
      <c r="F40" s="35" t="inlineStr">
        <is>
          <t>High</t>
        </is>
      </c>
      <c r="G40" s="35" t="inlineStr">
        <is>
          <t>High</t>
        </is>
      </c>
      <c r="H40" s="38" t="inlineStr">
        <is>
          <t>djh6767@psu.edu</t>
        </is>
      </c>
      <c r="I40" s="38" t="inlineStr">
        <is>
          <t>2026-04-02</t>
        </is>
      </c>
      <c r="J40" s="38" t="n"/>
      <c r="K40" s="38" t="inlineStr">
        <is>
          <t>NO</t>
        </is>
      </c>
      <c r="L40" s="39" t="inlineStr">
        <is>
          <t>New Lead</t>
        </is>
      </c>
      <c r="M40" s="38" t="n"/>
      <c r="N40" s="38" t="n"/>
      <c r="O40" s="38" t="n"/>
      <c r="P40" s="38" t="n">
        <v>2500</v>
      </c>
      <c r="Q40" s="38" t="n">
        <v>0</v>
      </c>
      <c r="R40" s="40">
        <f>IF(J40="","",TODAY()-DATE(LEFT(J40,4)*1,MID(J40,6,2)*1,RIGHT(J40,2)*1))</f>
        <v/>
      </c>
    </row>
    <row r="41" ht="18" customHeight="1" s="31">
      <c r="A41" s="34" t="n">
        <v>39</v>
      </c>
      <c r="B41" s="34" t="inlineStr">
        <is>
          <t>Pauline</t>
        </is>
      </c>
      <c r="C41" s="34" t="inlineStr">
        <is>
          <t>Hwang</t>
        </is>
      </c>
      <c r="D41" s="34" t="inlineStr">
        <is>
          <t>Penn State University</t>
        </is>
      </c>
      <c r="E41" s="34" t="inlineStr">
        <is>
          <t>Nursing / Population Health</t>
        </is>
      </c>
      <c r="F41" s="35" t="inlineStr">
        <is>
          <t>High</t>
        </is>
      </c>
      <c r="G41" s="35" t="inlineStr">
        <is>
          <t>High</t>
        </is>
      </c>
      <c r="H41" s="34" t="inlineStr">
        <is>
          <t>pjh232@psu.edu</t>
        </is>
      </c>
      <c r="I41" s="34" t="inlineStr">
        <is>
          <t>2026-04-02</t>
        </is>
      </c>
      <c r="J41" s="34" t="n"/>
      <c r="K41" s="34" t="inlineStr">
        <is>
          <t>NO</t>
        </is>
      </c>
      <c r="L41" s="36" t="inlineStr">
        <is>
          <t>New Lead</t>
        </is>
      </c>
      <c r="M41" s="34" t="n"/>
      <c r="N41" s="34" t="n"/>
      <c r="O41" s="34" t="n"/>
      <c r="P41" s="34" t="n">
        <v>2500</v>
      </c>
      <c r="Q41" s="34" t="n">
        <v>0</v>
      </c>
      <c r="R41" s="37">
        <f>IF(J41="","",TODAY()-DATE(LEFT(J41,4)*1,MID(J41,6,2)*1,RIGHT(J41,2)*1))</f>
        <v/>
      </c>
    </row>
    <row r="42" ht="18" customHeight="1" s="31">
      <c r="A42" s="38" t="n">
        <v>40</v>
      </c>
      <c r="B42" s="38" t="inlineStr">
        <is>
          <t>Zahra</t>
        </is>
      </c>
      <c r="C42" s="38" t="inlineStr">
        <is>
          <t>Karimi</t>
        </is>
      </c>
      <c r="D42" s="38" t="inlineStr">
        <is>
          <t>Penn State University</t>
        </is>
      </c>
      <c r="E42" s="38" t="inlineStr">
        <is>
          <t>Nursing / Mental Health</t>
        </is>
      </c>
      <c r="F42" s="35" t="inlineStr">
        <is>
          <t>High</t>
        </is>
      </c>
      <c r="G42" s="35" t="inlineStr">
        <is>
          <t>High</t>
        </is>
      </c>
      <c r="H42" s="38" t="inlineStr">
        <is>
          <t>zvk5155@psu.edu</t>
        </is>
      </c>
      <c r="I42" s="38" t="inlineStr">
        <is>
          <t>2026-04-02</t>
        </is>
      </c>
      <c r="J42" s="38" t="n"/>
      <c r="K42" s="38" t="inlineStr">
        <is>
          <t>NO</t>
        </is>
      </c>
      <c r="L42" s="39" t="inlineStr">
        <is>
          <t>New Lead</t>
        </is>
      </c>
      <c r="M42" s="38" t="n"/>
      <c r="N42" s="38" t="n"/>
      <c r="O42" s="38" t="n"/>
      <c r="P42" s="38" t="n">
        <v>2500</v>
      </c>
      <c r="Q42" s="38" t="n">
        <v>0</v>
      </c>
      <c r="R42" s="40">
        <f>IF(J42="","",TODAY()-DATE(LEFT(J42,4)*1,MID(J42,6,2)*1,RIGHT(J42,2)*1))</f>
        <v/>
      </c>
    </row>
    <row r="43" ht="18" customHeight="1" s="31">
      <c r="A43" s="34" t="n">
        <v>41</v>
      </c>
      <c r="B43" s="34" t="inlineStr">
        <is>
          <t>Naomi</t>
        </is>
      </c>
      <c r="C43" s="34" t="inlineStr">
        <is>
          <t>N S Walter</t>
        </is>
      </c>
      <c r="D43" s="34" t="inlineStr">
        <is>
          <t>Penn State University</t>
        </is>
      </c>
      <c r="E43" s="34" t="inlineStr">
        <is>
          <t>Nursing / Health Services</t>
        </is>
      </c>
      <c r="F43" s="35" t="inlineStr">
        <is>
          <t>High</t>
        </is>
      </c>
      <c r="G43" s="35" t="inlineStr">
        <is>
          <t>High</t>
        </is>
      </c>
      <c r="H43" s="34" t="inlineStr">
        <is>
          <t>nqn5306@psu.edu</t>
        </is>
      </c>
      <c r="I43" s="34" t="inlineStr">
        <is>
          <t>2026-04-02</t>
        </is>
      </c>
      <c r="J43" s="34" t="n"/>
      <c r="K43" s="34" t="inlineStr">
        <is>
          <t>NO</t>
        </is>
      </c>
      <c r="L43" s="36" t="inlineStr">
        <is>
          <t>New Lead</t>
        </is>
      </c>
      <c r="M43" s="34" t="n"/>
      <c r="N43" s="34" t="n"/>
      <c r="O43" s="34" t="n"/>
      <c r="P43" s="34" t="n">
        <v>2500</v>
      </c>
      <c r="Q43" s="34" t="n">
        <v>0</v>
      </c>
      <c r="R43" s="37">
        <f>IF(J43="","",TODAY()-DATE(LEFT(J43,4)*1,MID(J43,6,2)*1,RIGHT(J43,2)*1))</f>
        <v/>
      </c>
    </row>
    <row r="44" ht="18" customHeight="1" s="31">
      <c r="A44" s="38" t="n">
        <v>42</v>
      </c>
      <c r="B44" s="38" t="inlineStr">
        <is>
          <t>Light</t>
        </is>
      </c>
      <c r="C44" s="38" t="inlineStr">
        <is>
          <t>Ndurue</t>
        </is>
      </c>
      <c r="D44" s="38" t="inlineStr">
        <is>
          <t>Penn State University</t>
        </is>
      </c>
      <c r="E44" s="38" t="inlineStr">
        <is>
          <t>Nursing / Community Health</t>
        </is>
      </c>
      <c r="F44" s="35" t="inlineStr">
        <is>
          <t>High</t>
        </is>
      </c>
      <c r="G44" s="35" t="inlineStr">
        <is>
          <t>High</t>
        </is>
      </c>
      <c r="H44" s="38" t="inlineStr">
        <is>
          <t>lon5082@psu.edu</t>
        </is>
      </c>
      <c r="I44" s="38" t="inlineStr">
        <is>
          <t>2026-04-02</t>
        </is>
      </c>
      <c r="J44" s="38" t="n"/>
      <c r="K44" s="38" t="inlineStr">
        <is>
          <t>NO</t>
        </is>
      </c>
      <c r="L44" s="39" t="inlineStr">
        <is>
          <t>New Lead</t>
        </is>
      </c>
      <c r="M44" s="38" t="n"/>
      <c r="N44" s="38" t="n"/>
      <c r="O44" s="38" t="n"/>
      <c r="P44" s="38" t="n">
        <v>2500</v>
      </c>
      <c r="Q44" s="38" t="n">
        <v>0</v>
      </c>
      <c r="R44" s="40">
        <f>IF(J44="","",TODAY()-DATE(LEFT(J44,4)*1,MID(J44,6,2)*1,RIGHT(J44,2)*1))</f>
        <v/>
      </c>
    </row>
    <row r="45" ht="18" customHeight="1" s="31">
      <c r="A45" s="34" t="n">
        <v>43</v>
      </c>
      <c r="B45" s="34" t="inlineStr">
        <is>
          <t>Kathryn</t>
        </is>
      </c>
      <c r="C45" s="34" t="inlineStr">
        <is>
          <t>Oetjens</t>
        </is>
      </c>
      <c r="D45" s="34" t="inlineStr">
        <is>
          <t>Penn State University</t>
        </is>
      </c>
      <c r="E45" s="34" t="inlineStr">
        <is>
          <t>Nursing / Health Research</t>
        </is>
      </c>
      <c r="F45" s="35" t="inlineStr">
        <is>
          <t>High</t>
        </is>
      </c>
      <c r="G45" s="35" t="inlineStr">
        <is>
          <t>High</t>
        </is>
      </c>
      <c r="H45" s="34" t="inlineStr">
        <is>
          <t>kfo5207@psu.edu</t>
        </is>
      </c>
      <c r="I45" s="34" t="inlineStr">
        <is>
          <t>2026-04-02</t>
        </is>
      </c>
      <c r="J45" s="34" t="n"/>
      <c r="K45" s="34" t="inlineStr">
        <is>
          <t>NO</t>
        </is>
      </c>
      <c r="L45" s="36" t="inlineStr">
        <is>
          <t>New Lead</t>
        </is>
      </c>
      <c r="M45" s="34" t="n"/>
      <c r="N45" s="34" t="n"/>
      <c r="O45" s="34" t="n"/>
      <c r="P45" s="34" t="n">
        <v>2500</v>
      </c>
      <c r="Q45" s="34" t="n">
        <v>0</v>
      </c>
      <c r="R45" s="37">
        <f>IF(J45="","",TODAY()-DATE(LEFT(J45,4)*1,MID(J45,6,2)*1,RIGHT(J45,2)*1))</f>
        <v/>
      </c>
    </row>
    <row r="46" ht="18" customHeight="1" s="31">
      <c r="A46" s="38" t="n">
        <v>44</v>
      </c>
      <c r="B46" s="38" t="inlineStr">
        <is>
          <t>Omowunmi</t>
        </is>
      </c>
      <c r="C46" s="38" t="inlineStr">
        <is>
          <t>Olabode</t>
        </is>
      </c>
      <c r="D46" s="38" t="inlineStr">
        <is>
          <t>Penn State University</t>
        </is>
      </c>
      <c r="E46" s="38" t="inlineStr">
        <is>
          <t>Nursing / Global Health</t>
        </is>
      </c>
      <c r="F46" s="35" t="inlineStr">
        <is>
          <t>High</t>
        </is>
      </c>
      <c r="G46" s="35" t="inlineStr">
        <is>
          <t>High</t>
        </is>
      </c>
      <c r="H46" s="38" t="inlineStr">
        <is>
          <t>ojo5111@psu.edu</t>
        </is>
      </c>
      <c r="I46" s="38" t="inlineStr">
        <is>
          <t>2026-04-02</t>
        </is>
      </c>
      <c r="J46" s="38" t="n"/>
      <c r="K46" s="38" t="inlineStr">
        <is>
          <t>NO</t>
        </is>
      </c>
      <c r="L46" s="39" t="inlineStr">
        <is>
          <t>New Lead</t>
        </is>
      </c>
      <c r="M46" s="38" t="n"/>
      <c r="N46" s="38" t="n"/>
      <c r="O46" s="38" t="n"/>
      <c r="P46" s="38" t="n">
        <v>2500</v>
      </c>
      <c r="Q46" s="38" t="n">
        <v>0</v>
      </c>
      <c r="R46" s="40">
        <f>IF(J46="","",TODAY()-DATE(LEFT(J46,4)*1,MID(J46,6,2)*1,RIGHT(J46,2)*1))</f>
        <v/>
      </c>
    </row>
    <row r="47" ht="18" customHeight="1" s="31">
      <c r="A47" s="34" t="n">
        <v>45</v>
      </c>
      <c r="B47" s="34" t="inlineStr">
        <is>
          <t>Comfort</t>
        </is>
      </c>
      <c r="C47" s="34" t="inlineStr">
        <is>
          <t>Olarinde</t>
        </is>
      </c>
      <c r="D47" s="34" t="inlineStr">
        <is>
          <t>Penn State University</t>
        </is>
      </c>
      <c r="E47" s="34" t="inlineStr">
        <is>
          <t>Nursing / Health Equity</t>
        </is>
      </c>
      <c r="F47" s="35" t="inlineStr">
        <is>
          <t>High</t>
        </is>
      </c>
      <c r="G47" s="35" t="inlineStr">
        <is>
          <t>High</t>
        </is>
      </c>
      <c r="H47" s="34" t="inlineStr">
        <is>
          <t>oco5135@psu.edu</t>
        </is>
      </c>
      <c r="I47" s="34" t="inlineStr">
        <is>
          <t>2026-04-02</t>
        </is>
      </c>
      <c r="J47" s="34" t="n"/>
      <c r="K47" s="34" t="inlineStr">
        <is>
          <t>NO</t>
        </is>
      </c>
      <c r="L47" s="36" t="inlineStr">
        <is>
          <t>New Lead</t>
        </is>
      </c>
      <c r="M47" s="34" t="n"/>
      <c r="N47" s="34" t="n"/>
      <c r="O47" s="34" t="n"/>
      <c r="P47" s="34" t="n">
        <v>2500</v>
      </c>
      <c r="Q47" s="34" t="n">
        <v>0</v>
      </c>
      <c r="R47" s="37">
        <f>IF(J47="","",TODAY()-DATE(LEFT(J47,4)*1,MID(J47,6,2)*1,RIGHT(J47,2)*1))</f>
        <v/>
      </c>
    </row>
    <row r="48" ht="18" customHeight="1" s="31">
      <c r="A48" s="38" t="n">
        <v>46</v>
      </c>
      <c r="B48" s="38" t="inlineStr">
        <is>
          <t>David</t>
        </is>
      </c>
      <c r="C48" s="38" t="inlineStr">
        <is>
          <t>(DJ) Schnabel</t>
        </is>
      </c>
      <c r="D48" s="38" t="inlineStr">
        <is>
          <t>Penn State University</t>
        </is>
      </c>
      <c r="E48" s="38" t="inlineStr">
        <is>
          <t>Nursing / Clinical Research</t>
        </is>
      </c>
      <c r="F48" s="35" t="inlineStr">
        <is>
          <t>High</t>
        </is>
      </c>
      <c r="G48" s="35" t="inlineStr">
        <is>
          <t>High</t>
        </is>
      </c>
      <c r="H48" s="38" t="inlineStr">
        <is>
          <t>djs7316@psu.edu</t>
        </is>
      </c>
      <c r="I48" s="38" t="inlineStr">
        <is>
          <t>2026-04-02</t>
        </is>
      </c>
      <c r="J48" s="38" t="n"/>
      <c r="K48" s="38" t="inlineStr">
        <is>
          <t>NO</t>
        </is>
      </c>
      <c r="L48" s="39" t="inlineStr">
        <is>
          <t>New Lead</t>
        </is>
      </c>
      <c r="M48" s="38" t="n"/>
      <c r="N48" s="38" t="n"/>
      <c r="O48" s="38" t="n"/>
      <c r="P48" s="38" t="n">
        <v>2500</v>
      </c>
      <c r="Q48" s="38" t="n">
        <v>0</v>
      </c>
      <c r="R48" s="40">
        <f>IF(J48="","",TODAY()-DATE(LEFT(J48,4)*1,MID(J48,6,2)*1,RIGHT(J48,2)*1))</f>
        <v/>
      </c>
    </row>
    <row r="49" ht="18" customHeight="1" s="31">
      <c r="A49" s="34" t="n">
        <v>47</v>
      </c>
      <c r="B49" s="34" t="inlineStr">
        <is>
          <t>Yodalys</t>
        </is>
      </c>
      <c r="C49" s="34" t="inlineStr">
        <is>
          <t>Aguilar</t>
        </is>
      </c>
      <c r="D49" s="34" t="inlineStr">
        <is>
          <t>University of North Carolina at Chapel Hill</t>
        </is>
      </c>
      <c r="E49" s="34" t="inlineStr">
        <is>
          <t>Social Psychology</t>
        </is>
      </c>
      <c r="F49" s="35" t="inlineStr">
        <is>
          <t>High</t>
        </is>
      </c>
      <c r="G49" s="35" t="inlineStr">
        <is>
          <t>High</t>
        </is>
      </c>
      <c r="H49" s="34" t="inlineStr">
        <is>
          <t>yvaguila@unc.edu</t>
        </is>
      </c>
      <c r="I49" s="34" t="inlineStr">
        <is>
          <t>2026-04-02</t>
        </is>
      </c>
      <c r="J49" s="34" t="inlineStr">
        <is>
          <t>2026-04-02</t>
        </is>
      </c>
      <c r="K49" s="34" t="inlineStr">
        <is>
          <t>YES</t>
        </is>
      </c>
      <c r="L49" s="36" t="inlineStr">
        <is>
          <t>Contacted</t>
        </is>
      </c>
      <c r="M49" s="34" t="inlineStr">
        <is>
          <t>2026-04-02</t>
        </is>
      </c>
      <c r="N49" s="34" t="n"/>
      <c r="O49" s="34" t="n"/>
      <c r="P49" s="34" t="n">
        <v>2500</v>
      </c>
      <c r="Q49" s="34" t="n">
        <v>0</v>
      </c>
      <c r="R49" s="37">
        <f>IF(J49="","",TODAY()-DATE(LEFT(J49,4)*1,MID(J49,6,2)*1,RIGHT(J49,2)*1))</f>
        <v/>
      </c>
    </row>
    <row r="50" ht="18" customHeight="1" s="31">
      <c r="A50" s="38" t="n">
        <v>48</v>
      </c>
      <c r="B50" s="38" t="inlineStr">
        <is>
          <t>Natalie</t>
        </is>
      </c>
      <c r="C50" s="38" t="inlineStr">
        <is>
          <t>Antenucci</t>
        </is>
      </c>
      <c r="D50" s="38" t="inlineStr">
        <is>
          <t>University of North Carolina at Chapel Hill</t>
        </is>
      </c>
      <c r="E50" s="38" t="inlineStr">
        <is>
          <t>Social Psychology</t>
        </is>
      </c>
      <c r="F50" s="35" t="inlineStr">
        <is>
          <t>High</t>
        </is>
      </c>
      <c r="G50" s="35" t="inlineStr">
        <is>
          <t>High</t>
        </is>
      </c>
      <c r="H50" s="38" t="inlineStr">
        <is>
          <t>nantenucci@unc.edu</t>
        </is>
      </c>
      <c r="I50" s="38" t="inlineStr">
        <is>
          <t>2026-04-02</t>
        </is>
      </c>
      <c r="J50" s="38" t="n"/>
      <c r="K50" s="38" t="inlineStr">
        <is>
          <t>NO</t>
        </is>
      </c>
      <c r="L50" s="39" t="inlineStr">
        <is>
          <t>New Lead</t>
        </is>
      </c>
      <c r="M50" s="38" t="n"/>
      <c r="N50" s="38" t="n"/>
      <c r="O50" s="38" t="n"/>
      <c r="P50" s="38" t="n">
        <v>2500</v>
      </c>
      <c r="Q50" s="38" t="n">
        <v>0</v>
      </c>
      <c r="R50" s="40">
        <f>IF(J50="","",TODAY()-DATE(LEFT(J50,4)*1,MID(J50,6,2)*1,RIGHT(J50,2)*1))</f>
        <v/>
      </c>
    </row>
    <row r="51" ht="18" customHeight="1" s="31">
      <c r="A51" s="34" t="n">
        <v>49</v>
      </c>
      <c r="B51" s="34" t="inlineStr">
        <is>
          <t>Adrienne</t>
        </is>
      </c>
      <c r="C51" s="34" t="inlineStr">
        <is>
          <t>Bonar</t>
        </is>
      </c>
      <c r="D51" s="34" t="inlineStr">
        <is>
          <t>University of North Carolina at Chapel Hill</t>
        </is>
      </c>
      <c r="E51" s="34" t="inlineStr">
        <is>
          <t>Social Psychology</t>
        </is>
      </c>
      <c r="F51" s="35" t="inlineStr">
        <is>
          <t>High</t>
        </is>
      </c>
      <c r="G51" s="35" t="inlineStr">
        <is>
          <t>High</t>
        </is>
      </c>
      <c r="H51" s="34" t="inlineStr">
        <is>
          <t>adrienne.bonar@unc.edu</t>
        </is>
      </c>
      <c r="I51" s="34" t="inlineStr">
        <is>
          <t>2026-04-02</t>
        </is>
      </c>
      <c r="J51" s="34" t="n"/>
      <c r="K51" s="34" t="inlineStr">
        <is>
          <t>NO</t>
        </is>
      </c>
      <c r="L51" s="36" t="inlineStr">
        <is>
          <t>New Lead</t>
        </is>
      </c>
      <c r="M51" s="34" t="n"/>
      <c r="N51" s="34" t="n"/>
      <c r="O51" s="34" t="n"/>
      <c r="P51" s="34" t="n">
        <v>2500</v>
      </c>
      <c r="Q51" s="34" t="n">
        <v>0</v>
      </c>
      <c r="R51" s="37">
        <f>IF(J51="","",TODAY()-DATE(LEFT(J51,4)*1,MID(J51,6,2)*1,RIGHT(J51,2)*1))</f>
        <v/>
      </c>
    </row>
    <row r="52" ht="18" customHeight="1" s="31">
      <c r="A52" s="38" t="n">
        <v>50</v>
      </c>
      <c r="B52" s="38" t="inlineStr">
        <is>
          <t>Megan</t>
        </is>
      </c>
      <c r="C52" s="38" t="inlineStr">
        <is>
          <t>Cardenas</t>
        </is>
      </c>
      <c r="D52" s="38" t="inlineStr">
        <is>
          <t>University of North Carolina at Chapel Hill</t>
        </is>
      </c>
      <c r="E52" s="38" t="inlineStr">
        <is>
          <t>Social Psychology</t>
        </is>
      </c>
      <c r="F52" s="35" t="inlineStr">
        <is>
          <t>High</t>
        </is>
      </c>
      <c r="G52" s="35" t="inlineStr">
        <is>
          <t>High</t>
        </is>
      </c>
      <c r="H52" s="38" t="inlineStr">
        <is>
          <t>mcardenas@unc.edu</t>
        </is>
      </c>
      <c r="I52" s="38" t="inlineStr">
        <is>
          <t>2026-04-02</t>
        </is>
      </c>
      <c r="J52" s="38" t="n"/>
      <c r="K52" s="38" t="inlineStr">
        <is>
          <t>NO</t>
        </is>
      </c>
      <c r="L52" s="39" t="inlineStr">
        <is>
          <t>New Lead</t>
        </is>
      </c>
      <c r="M52" s="38" t="n"/>
      <c r="N52" s="38" t="n"/>
      <c r="O52" s="38" t="n"/>
      <c r="P52" s="38" t="n">
        <v>2500</v>
      </c>
      <c r="Q52" s="38" t="n">
        <v>0</v>
      </c>
      <c r="R52" s="40">
        <f>IF(J52="","",TODAY()-DATE(LEFT(J52,4)*1,MID(J52,6,2)*1,RIGHT(J52,2)*1))</f>
        <v/>
      </c>
    </row>
    <row r="53" ht="18" customHeight="1" s="31">
      <c r="A53" s="34" t="n">
        <v>51</v>
      </c>
      <c r="B53" s="34" t="inlineStr">
        <is>
          <t>Danica</t>
        </is>
      </c>
      <c r="C53" s="34" t="inlineStr">
        <is>
          <t>Dillion</t>
        </is>
      </c>
      <c r="D53" s="34" t="inlineStr">
        <is>
          <t>University of North Carolina at Chapel Hill</t>
        </is>
      </c>
      <c r="E53" s="34" t="inlineStr">
        <is>
          <t>Social Psychology</t>
        </is>
      </c>
      <c r="F53" s="35" t="inlineStr">
        <is>
          <t>High</t>
        </is>
      </c>
      <c r="G53" s="35" t="inlineStr">
        <is>
          <t>High</t>
        </is>
      </c>
      <c r="H53" s="34" t="inlineStr">
        <is>
          <t>danicaw@email.unc.edu</t>
        </is>
      </c>
      <c r="I53" s="34" t="inlineStr">
        <is>
          <t>2026-04-02</t>
        </is>
      </c>
      <c r="J53" s="34" t="n"/>
      <c r="K53" s="34" t="inlineStr">
        <is>
          <t>NO</t>
        </is>
      </c>
      <c r="L53" s="36" t="inlineStr">
        <is>
          <t>New Lead</t>
        </is>
      </c>
      <c r="M53" s="34" t="n"/>
      <c r="N53" s="34" t="n"/>
      <c r="O53" s="34" t="n"/>
      <c r="P53" s="34" t="n">
        <v>2500</v>
      </c>
      <c r="Q53" s="34" t="n">
        <v>0</v>
      </c>
      <c r="R53" s="37">
        <f>IF(J53="","",TODAY()-DATE(LEFT(J53,4)*1,MID(J53,6,2)*1,RIGHT(J53,2)*1))</f>
        <v/>
      </c>
    </row>
    <row r="54" ht="18" customHeight="1" s="31">
      <c r="A54" s="38" t="n">
        <v>52</v>
      </c>
      <c r="B54" s="38" t="inlineStr">
        <is>
          <t>Zoe</t>
        </is>
      </c>
      <c r="C54" s="38" t="inlineStr">
        <is>
          <t>Hansen</t>
        </is>
      </c>
      <c r="D54" s="38" t="inlineStr">
        <is>
          <t>University of North Carolina at Chapel Hill</t>
        </is>
      </c>
      <c r="E54" s="38" t="inlineStr">
        <is>
          <t>Social Psychology</t>
        </is>
      </c>
      <c r="F54" s="35" t="inlineStr">
        <is>
          <t>High</t>
        </is>
      </c>
      <c r="G54" s="35" t="inlineStr">
        <is>
          <t>High</t>
        </is>
      </c>
      <c r="H54" s="38" t="inlineStr">
        <is>
          <t>zhansen@unc.edu</t>
        </is>
      </c>
      <c r="I54" s="38" t="inlineStr">
        <is>
          <t>2026-04-02</t>
        </is>
      </c>
      <c r="J54" s="38" t="n"/>
      <c r="K54" s="38" t="inlineStr">
        <is>
          <t>NO</t>
        </is>
      </c>
      <c r="L54" s="39" t="inlineStr">
        <is>
          <t>New Lead</t>
        </is>
      </c>
      <c r="M54" s="38" t="n"/>
      <c r="N54" s="38" t="n"/>
      <c r="O54" s="38" t="n"/>
      <c r="P54" s="38" t="n">
        <v>2500</v>
      </c>
      <c r="Q54" s="38" t="n">
        <v>0</v>
      </c>
      <c r="R54" s="40">
        <f>IF(J54="","",TODAY()-DATE(LEFT(J54,4)*1,MID(J54,6,2)*1,RIGHT(J54,2)*1))</f>
        <v/>
      </c>
    </row>
    <row r="55" ht="18" customHeight="1" s="31">
      <c r="A55" s="34" t="n">
        <v>53</v>
      </c>
      <c r="B55" s="34" t="inlineStr">
        <is>
          <t>Asha</t>
        </is>
      </c>
      <c r="C55" s="34" t="inlineStr">
        <is>
          <t>Hinson</t>
        </is>
      </c>
      <c r="D55" s="34" t="inlineStr">
        <is>
          <t>University of North Carolina at Chapel Hill</t>
        </is>
      </c>
      <c r="E55" s="34" t="inlineStr">
        <is>
          <t>Social Psychology</t>
        </is>
      </c>
      <c r="F55" s="35" t="inlineStr">
        <is>
          <t>High</t>
        </is>
      </c>
      <c r="G55" s="35" t="inlineStr">
        <is>
          <t>High</t>
        </is>
      </c>
      <c r="H55" s="34" t="inlineStr">
        <is>
          <t>asha.hinson@unc.edu</t>
        </is>
      </c>
      <c r="I55" s="34" t="inlineStr">
        <is>
          <t>2026-04-02</t>
        </is>
      </c>
      <c r="J55" s="34" t="n"/>
      <c r="K55" s="34" t="inlineStr">
        <is>
          <t>NO</t>
        </is>
      </c>
      <c r="L55" s="36" t="inlineStr">
        <is>
          <t>New Lead</t>
        </is>
      </c>
      <c r="M55" s="34" t="n"/>
      <c r="N55" s="34" t="n"/>
      <c r="O55" s="34" t="n"/>
      <c r="P55" s="34" t="n">
        <v>2500</v>
      </c>
      <c r="Q55" s="34" t="n">
        <v>0</v>
      </c>
      <c r="R55" s="37">
        <f>IF(J55="","",TODAY()-DATE(LEFT(J55,4)*1,MID(J55,6,2)*1,RIGHT(J55,2)*1))</f>
        <v/>
      </c>
    </row>
    <row r="56" ht="18" customHeight="1" s="31">
      <c r="A56" s="38" t="n">
        <v>54</v>
      </c>
      <c r="B56" s="38" t="inlineStr">
        <is>
          <t>Carrington</t>
        </is>
      </c>
      <c r="C56" s="38" t="inlineStr">
        <is>
          <t>Merritt</t>
        </is>
      </c>
      <c r="D56" s="38" t="inlineStr">
        <is>
          <t>University of North Carolina at Chapel Hill</t>
        </is>
      </c>
      <c r="E56" s="38" t="inlineStr">
        <is>
          <t>Social Psychology</t>
        </is>
      </c>
      <c r="F56" s="35" t="inlineStr">
        <is>
          <t>High</t>
        </is>
      </c>
      <c r="G56" s="35" t="inlineStr">
        <is>
          <t>High</t>
        </is>
      </c>
      <c r="H56" s="38" t="inlineStr">
        <is>
          <t>carritt@live.unc.edu</t>
        </is>
      </c>
      <c r="I56" s="38" t="inlineStr">
        <is>
          <t>2026-04-02</t>
        </is>
      </c>
      <c r="J56" s="38" t="n"/>
      <c r="K56" s="38" t="inlineStr">
        <is>
          <t>NO</t>
        </is>
      </c>
      <c r="L56" s="39" t="inlineStr">
        <is>
          <t>New Lead</t>
        </is>
      </c>
      <c r="M56" s="38" t="n"/>
      <c r="N56" s="38" t="n"/>
      <c r="O56" s="38" t="n"/>
      <c r="P56" s="38" t="n">
        <v>2500</v>
      </c>
      <c r="Q56" s="38" t="n">
        <v>0</v>
      </c>
      <c r="R56" s="40">
        <f>IF(J56="","",TODAY()-DATE(LEFT(J56,4)*1,MID(J56,6,2)*1,RIGHT(J56,2)*1))</f>
        <v/>
      </c>
    </row>
    <row r="57" ht="18" customHeight="1" s="31">
      <c r="A57" s="34" t="n">
        <v>55</v>
      </c>
      <c r="B57" s="34" t="inlineStr">
        <is>
          <t>Maggie</t>
        </is>
      </c>
      <c r="C57" s="34" t="inlineStr">
        <is>
          <t>Williams</t>
        </is>
      </c>
      <c r="D57" s="34" t="inlineStr">
        <is>
          <t>University of North Carolina at Chapel Hill</t>
        </is>
      </c>
      <c r="E57" s="34" t="inlineStr">
        <is>
          <t>Social Psychology</t>
        </is>
      </c>
      <c r="F57" s="35" t="inlineStr">
        <is>
          <t>High</t>
        </is>
      </c>
      <c r="G57" s="35" t="inlineStr">
        <is>
          <t>High</t>
        </is>
      </c>
      <c r="H57" s="34" t="inlineStr">
        <is>
          <t>maggiewi@unc.edu</t>
        </is>
      </c>
      <c r="I57" s="34" t="inlineStr">
        <is>
          <t>2026-04-02</t>
        </is>
      </c>
      <c r="J57" s="34" t="n"/>
      <c r="K57" s="34" t="inlineStr">
        <is>
          <t>NO</t>
        </is>
      </c>
      <c r="L57" s="36" t="inlineStr">
        <is>
          <t>New Lead</t>
        </is>
      </c>
      <c r="M57" s="34" t="n"/>
      <c r="N57" s="34" t="n"/>
      <c r="O57" s="34" t="n"/>
      <c r="P57" s="34" t="n">
        <v>2500</v>
      </c>
      <c r="Q57" s="34" t="n">
        <v>0</v>
      </c>
      <c r="R57" s="37">
        <f>IF(J57="","",TODAY()-DATE(LEFT(J57,4)*1,MID(J57,6,2)*1,RIGHT(J57,2)*1))</f>
        <v/>
      </c>
    </row>
    <row r="58" ht="18" customHeight="1" s="31">
      <c r="A58" s="38" t="n">
        <v>56</v>
      </c>
      <c r="B58" s="38" t="inlineStr">
        <is>
          <t>Zhiqing</t>
        </is>
      </c>
      <c r="C58" s="38" t="inlineStr">
        <is>
          <t>(Michelle) Yang</t>
        </is>
      </c>
      <c r="D58" s="38" t="inlineStr">
        <is>
          <t>University of North Carolina at Chapel Hill</t>
        </is>
      </c>
      <c r="E58" s="38" t="inlineStr">
        <is>
          <t>Social Psychology</t>
        </is>
      </c>
      <c r="F58" s="35" t="inlineStr">
        <is>
          <t>High</t>
        </is>
      </c>
      <c r="G58" s="35" t="inlineStr">
        <is>
          <t>High</t>
        </is>
      </c>
      <c r="H58" s="38" t="inlineStr">
        <is>
          <t>mzyang@unc.edu</t>
        </is>
      </c>
      <c r="I58" s="38" t="inlineStr">
        <is>
          <t>2026-04-02</t>
        </is>
      </c>
      <c r="J58" s="38" t="n"/>
      <c r="K58" s="38" t="inlineStr">
        <is>
          <t>NO</t>
        </is>
      </c>
      <c r="L58" s="39" t="inlineStr">
        <is>
          <t>New Lead</t>
        </is>
      </c>
      <c r="M58" s="38" t="n"/>
      <c r="N58" s="38" t="n"/>
      <c r="O58" s="38" t="n"/>
      <c r="P58" s="38" t="n">
        <v>2500</v>
      </c>
      <c r="Q58" s="38" t="n">
        <v>0</v>
      </c>
      <c r="R58" s="40">
        <f>IF(J58="","",TODAY()-DATE(LEFT(J58,4)*1,MID(J58,6,2)*1,RIGHT(J58,2)*1))</f>
        <v/>
      </c>
    </row>
    <row r="59" ht="18" customHeight="1" s="31">
      <c r="A59" s="34" t="n">
        <v>57</v>
      </c>
      <c r="B59" s="34" t="inlineStr">
        <is>
          <t>Katherine</t>
        </is>
      </c>
      <c r="C59" s="34" t="inlineStr">
        <is>
          <t>Benson</t>
        </is>
      </c>
      <c r="D59" s="34" t="inlineStr">
        <is>
          <t>University of North Carolina at Chapel Hill</t>
        </is>
      </c>
      <c r="E59" s="34" t="inlineStr">
        <is>
          <t>Clinical Psychology</t>
        </is>
      </c>
      <c r="F59" s="35" t="inlineStr">
        <is>
          <t>High</t>
        </is>
      </c>
      <c r="G59" s="35" t="inlineStr">
        <is>
          <t>High</t>
        </is>
      </c>
      <c r="H59" s="34" t="inlineStr">
        <is>
          <t>klbenson@ad.unc.edu</t>
        </is>
      </c>
      <c r="I59" s="34" t="inlineStr">
        <is>
          <t>2026-04-02</t>
        </is>
      </c>
      <c r="J59" s="34" t="n"/>
      <c r="K59" s="34" t="inlineStr">
        <is>
          <t>NO</t>
        </is>
      </c>
      <c r="L59" s="36" t="inlineStr">
        <is>
          <t>New Lead</t>
        </is>
      </c>
      <c r="M59" s="34" t="n"/>
      <c r="N59" s="34" t="n"/>
      <c r="O59" s="34" t="n"/>
      <c r="P59" s="34" t="n">
        <v>2500</v>
      </c>
      <c r="Q59" s="34" t="n">
        <v>0</v>
      </c>
      <c r="R59" s="37">
        <f>IF(J59="","",TODAY()-DATE(LEFT(J59,4)*1,MID(J59,6,2)*1,RIGHT(J59,2)*1))</f>
        <v/>
      </c>
    </row>
    <row r="60" ht="18" customHeight="1" s="31">
      <c r="A60" s="38" t="n">
        <v>58</v>
      </c>
      <c r="B60" s="38" t="inlineStr">
        <is>
          <t>Robin</t>
        </is>
      </c>
      <c r="C60" s="38" t="inlineStr">
        <is>
          <t>Brown</t>
        </is>
      </c>
      <c r="D60" s="38" t="inlineStr">
        <is>
          <t>University of North Carolina at Chapel Hill</t>
        </is>
      </c>
      <c r="E60" s="38" t="inlineStr">
        <is>
          <t>Clinical Psychology</t>
        </is>
      </c>
      <c r="F60" s="35" t="inlineStr">
        <is>
          <t>High</t>
        </is>
      </c>
      <c r="G60" s="35" t="inlineStr">
        <is>
          <t>High</t>
        </is>
      </c>
      <c r="H60" s="38" t="inlineStr">
        <is>
          <t>robindb@unc.edu</t>
        </is>
      </c>
      <c r="I60" s="38" t="inlineStr">
        <is>
          <t>2026-04-02</t>
        </is>
      </c>
      <c r="J60" s="38" t="n"/>
      <c r="K60" s="38" t="inlineStr">
        <is>
          <t>NO</t>
        </is>
      </c>
      <c r="L60" s="39" t="inlineStr">
        <is>
          <t>New Lead</t>
        </is>
      </c>
      <c r="M60" s="38" t="n"/>
      <c r="N60" s="38" t="n"/>
      <c r="O60" s="38" t="n"/>
      <c r="P60" s="38" t="n">
        <v>2500</v>
      </c>
      <c r="Q60" s="38" t="n">
        <v>0</v>
      </c>
      <c r="R60" s="40">
        <f>IF(J60="","",TODAY()-DATE(LEFT(J60,4)*1,MID(J60,6,2)*1,RIGHT(J60,2)*1))</f>
        <v/>
      </c>
    </row>
    <row r="61" ht="18" customHeight="1" s="31">
      <c r="A61" s="34" t="n">
        <v>59</v>
      </c>
      <c r="B61" s="34" t="inlineStr">
        <is>
          <t>Grace</t>
        </is>
      </c>
      <c r="C61" s="34" t="inlineStr">
        <is>
          <t>Cain</t>
        </is>
      </c>
      <c r="D61" s="34" t="inlineStr">
        <is>
          <t>University of North Carolina at Chapel Hill</t>
        </is>
      </c>
      <c r="E61" s="34" t="inlineStr">
        <is>
          <t>Clinical Psychology</t>
        </is>
      </c>
      <c r="F61" s="35" t="inlineStr">
        <is>
          <t>High</t>
        </is>
      </c>
      <c r="G61" s="35" t="inlineStr">
        <is>
          <t>High</t>
        </is>
      </c>
      <c r="H61" s="34" t="inlineStr">
        <is>
          <t>gcain@unc.edu</t>
        </is>
      </c>
      <c r="I61" s="34" t="inlineStr">
        <is>
          <t>2026-04-02</t>
        </is>
      </c>
      <c r="J61" s="34" t="n"/>
      <c r="K61" s="34" t="inlineStr">
        <is>
          <t>NO</t>
        </is>
      </c>
      <c r="L61" s="36" t="inlineStr">
        <is>
          <t>New Lead</t>
        </is>
      </c>
      <c r="M61" s="34" t="n"/>
      <c r="N61" s="34" t="n"/>
      <c r="O61" s="34" t="n"/>
      <c r="P61" s="34" t="n">
        <v>2500</v>
      </c>
      <c r="Q61" s="34" t="n">
        <v>0</v>
      </c>
      <c r="R61" s="37">
        <f>IF(J61="","",TODAY()-DATE(LEFT(J61,4)*1,MID(J61,6,2)*1,RIGHT(J61,2)*1))</f>
        <v/>
      </c>
    </row>
    <row r="62" ht="18" customHeight="1" s="31">
      <c r="A62" s="38" t="n">
        <v>60</v>
      </c>
      <c r="B62" s="38" t="inlineStr">
        <is>
          <t>Emily</t>
        </is>
      </c>
      <c r="C62" s="38" t="inlineStr">
        <is>
          <t>Carrino</t>
        </is>
      </c>
      <c r="D62" s="38" t="inlineStr">
        <is>
          <t>University of North Carolina at Chapel Hill</t>
        </is>
      </c>
      <c r="E62" s="38" t="inlineStr">
        <is>
          <t>Clinical Psychology</t>
        </is>
      </c>
      <c r="F62" s="35" t="inlineStr">
        <is>
          <t>High</t>
        </is>
      </c>
      <c r="G62" s="35" t="inlineStr">
        <is>
          <t>High</t>
        </is>
      </c>
      <c r="H62" s="38" t="inlineStr">
        <is>
          <t>emilycarrino@unc.edu</t>
        </is>
      </c>
      <c r="I62" s="38" t="inlineStr">
        <is>
          <t>2026-04-02</t>
        </is>
      </c>
      <c r="J62" s="38" t="n"/>
      <c r="K62" s="38" t="inlineStr">
        <is>
          <t>NO</t>
        </is>
      </c>
      <c r="L62" s="39" t="inlineStr">
        <is>
          <t>New Lead</t>
        </is>
      </c>
      <c r="M62" s="38" t="n"/>
      <c r="N62" s="38" t="n"/>
      <c r="O62" s="38" t="n"/>
      <c r="P62" s="38" t="n">
        <v>2500</v>
      </c>
      <c r="Q62" s="38" t="n">
        <v>0</v>
      </c>
      <c r="R62" s="40">
        <f>IF(J62="","",TODAY()-DATE(LEFT(J62,4)*1,MID(J62,6,2)*1,RIGHT(J62,2)*1))</f>
        <v/>
      </c>
    </row>
    <row r="63" ht="18" customHeight="1" s="31">
      <c r="A63" s="34" t="n">
        <v>61</v>
      </c>
      <c r="B63" s="34" t="inlineStr">
        <is>
          <t>Satvika</t>
        </is>
      </c>
      <c r="C63" s="34" t="inlineStr">
        <is>
          <t>Char</t>
        </is>
      </c>
      <c r="D63" s="34" t="inlineStr">
        <is>
          <t>University of North Carolina at Chapel Hill</t>
        </is>
      </c>
      <c r="E63" s="34" t="inlineStr">
        <is>
          <t>Clinical Psychology</t>
        </is>
      </c>
      <c r="F63" s="35" t="inlineStr">
        <is>
          <t>High</t>
        </is>
      </c>
      <c r="G63" s="35" t="inlineStr">
        <is>
          <t>High</t>
        </is>
      </c>
      <c r="H63" s="34" t="inlineStr">
        <is>
          <t>satchar@unc.edu</t>
        </is>
      </c>
      <c r="I63" s="34" t="inlineStr">
        <is>
          <t>2026-04-02</t>
        </is>
      </c>
      <c r="J63" s="34" t="n"/>
      <c r="K63" s="34" t="inlineStr">
        <is>
          <t>NO</t>
        </is>
      </c>
      <c r="L63" s="36" t="inlineStr">
        <is>
          <t>New Lead</t>
        </is>
      </c>
      <c r="M63" s="34" t="n"/>
      <c r="N63" s="34" t="n"/>
      <c r="O63" s="34" t="n"/>
      <c r="P63" s="34" t="n">
        <v>2500</v>
      </c>
      <c r="Q63" s="34" t="n">
        <v>0</v>
      </c>
      <c r="R63" s="37">
        <f>IF(J63="","",TODAY()-DATE(LEFT(J63,4)*1,MID(J63,6,2)*1,RIGHT(J63,2)*1))</f>
        <v/>
      </c>
    </row>
    <row r="64" ht="18" customHeight="1" s="31">
      <c r="A64" s="38" t="n">
        <v>62</v>
      </c>
      <c r="B64" s="38" t="inlineStr">
        <is>
          <t>Abigale</t>
        </is>
      </c>
      <c r="C64" s="38" t="inlineStr">
        <is>
          <t>Collins</t>
        </is>
      </c>
      <c r="D64" s="38" t="inlineStr">
        <is>
          <t>University of North Carolina at Chapel Hill</t>
        </is>
      </c>
      <c r="E64" s="38" t="inlineStr">
        <is>
          <t>Clinical Psychology</t>
        </is>
      </c>
      <c r="F64" s="35" t="inlineStr">
        <is>
          <t>High</t>
        </is>
      </c>
      <c r="G64" s="35" t="inlineStr">
        <is>
          <t>High</t>
        </is>
      </c>
      <c r="H64" s="38" t="inlineStr">
        <is>
          <t>abigale.collins@unc.edu</t>
        </is>
      </c>
      <c r="I64" s="38" t="inlineStr">
        <is>
          <t>2026-04-02</t>
        </is>
      </c>
      <c r="J64" s="38" t="n"/>
      <c r="K64" s="38" t="inlineStr">
        <is>
          <t>NO</t>
        </is>
      </c>
      <c r="L64" s="39" t="inlineStr">
        <is>
          <t>New Lead</t>
        </is>
      </c>
      <c r="M64" s="38" t="n"/>
      <c r="N64" s="38" t="n"/>
      <c r="O64" s="38" t="n"/>
      <c r="P64" s="38" t="n">
        <v>2500</v>
      </c>
      <c r="Q64" s="38" t="n">
        <v>0</v>
      </c>
      <c r="R64" s="40">
        <f>IF(J64="","",TODAY()-DATE(LEFT(J64,4)*1,MID(J64,6,2)*1,RIGHT(J64,2)*1))</f>
        <v/>
      </c>
    </row>
    <row r="65" ht="18" customHeight="1" s="31">
      <c r="A65" s="34" t="n">
        <v>63</v>
      </c>
      <c r="B65" s="34" t="inlineStr">
        <is>
          <t>Kara</t>
        </is>
      </c>
      <c r="C65" s="34" t="inlineStr">
        <is>
          <t>Fox</t>
        </is>
      </c>
      <c r="D65" s="34" t="inlineStr">
        <is>
          <t>University of North Carolina at Chapel Hill</t>
        </is>
      </c>
      <c r="E65" s="34" t="inlineStr">
        <is>
          <t>Clinical Psychology</t>
        </is>
      </c>
      <c r="F65" s="35" t="inlineStr">
        <is>
          <t>High</t>
        </is>
      </c>
      <c r="G65" s="35" t="inlineStr">
        <is>
          <t>High</t>
        </is>
      </c>
      <c r="H65" s="34" t="inlineStr">
        <is>
          <t>kfox@unc.edu</t>
        </is>
      </c>
      <c r="I65" s="34" t="inlineStr">
        <is>
          <t>2026-04-02</t>
        </is>
      </c>
      <c r="J65" s="34" t="n"/>
      <c r="K65" s="34" t="inlineStr">
        <is>
          <t>NO</t>
        </is>
      </c>
      <c r="L65" s="36" t="inlineStr">
        <is>
          <t>New Lead</t>
        </is>
      </c>
      <c r="M65" s="34" t="n"/>
      <c r="N65" s="34" t="n"/>
      <c r="O65" s="34" t="n"/>
      <c r="P65" s="34" t="n">
        <v>2500</v>
      </c>
      <c r="Q65" s="34" t="n">
        <v>0</v>
      </c>
      <c r="R65" s="37">
        <f>IF(J65="","",TODAY()-DATE(LEFT(J65,4)*1,MID(J65,6,2)*1,RIGHT(J65,2)*1))</f>
        <v/>
      </c>
    </row>
    <row r="66" ht="18" customHeight="1" s="31">
      <c r="A66" s="38" t="n">
        <v>64</v>
      </c>
      <c r="B66" s="38" t="inlineStr">
        <is>
          <t>Julia</t>
        </is>
      </c>
      <c r="C66" s="38" t="inlineStr">
        <is>
          <t>Levitan</t>
        </is>
      </c>
      <c r="D66" s="38" t="inlineStr">
        <is>
          <t>University of North Carolina at Chapel Hill</t>
        </is>
      </c>
      <c r="E66" s="38" t="inlineStr">
        <is>
          <t>Clinical Psychology</t>
        </is>
      </c>
      <c r="F66" s="35" t="inlineStr">
        <is>
          <t>High</t>
        </is>
      </c>
      <c r="G66" s="35" t="inlineStr">
        <is>
          <t>High</t>
        </is>
      </c>
      <c r="H66" s="38" t="inlineStr">
        <is>
          <t>jlevitan@unc.edu</t>
        </is>
      </c>
      <c r="I66" s="38" t="inlineStr">
        <is>
          <t>2026-04-02</t>
        </is>
      </c>
      <c r="J66" s="38" t="n"/>
      <c r="K66" s="38" t="inlineStr">
        <is>
          <t>NO</t>
        </is>
      </c>
      <c r="L66" s="39" t="inlineStr">
        <is>
          <t>New Lead</t>
        </is>
      </c>
      <c r="M66" s="38" t="n"/>
      <c r="N66" s="38" t="n"/>
      <c r="O66" s="38" t="n"/>
      <c r="P66" s="38" t="n">
        <v>2500</v>
      </c>
      <c r="Q66" s="38" t="n">
        <v>0</v>
      </c>
      <c r="R66" s="40">
        <f>IF(J66="","",TODAY()-DATE(LEFT(J66,4)*1,MID(J66,6,2)*1,RIGHT(J66,2)*1))</f>
        <v/>
      </c>
    </row>
    <row r="67" ht="18" customHeight="1" s="31">
      <c r="A67" s="34" t="n">
        <v>65</v>
      </c>
      <c r="B67" s="34" t="inlineStr">
        <is>
          <t>Madison</t>
        </is>
      </c>
      <c r="C67" s="34" t="inlineStr">
        <is>
          <t>McCall</t>
        </is>
      </c>
      <c r="D67" s="34" t="inlineStr">
        <is>
          <t>University of North Carolina at Chapel Hill</t>
        </is>
      </c>
      <c r="E67" s="34" t="inlineStr">
        <is>
          <t>Clinical Psychology</t>
        </is>
      </c>
      <c r="F67" s="35" t="inlineStr">
        <is>
          <t>High</t>
        </is>
      </c>
      <c r="G67" s="35" t="inlineStr">
        <is>
          <t>High</t>
        </is>
      </c>
      <c r="H67" s="34" t="inlineStr">
        <is>
          <t>mmccall@unc.edu</t>
        </is>
      </c>
      <c r="I67" s="34" t="inlineStr">
        <is>
          <t>2026-04-02</t>
        </is>
      </c>
      <c r="J67" s="34" t="n"/>
      <c r="K67" s="34" t="inlineStr">
        <is>
          <t>NO</t>
        </is>
      </c>
      <c r="L67" s="36" t="inlineStr">
        <is>
          <t>New Lead</t>
        </is>
      </c>
      <c r="M67" s="34" t="n"/>
      <c r="N67" s="34" t="n"/>
      <c r="O67" s="34" t="n"/>
      <c r="P67" s="34" t="n">
        <v>2500</v>
      </c>
      <c r="Q67" s="34" t="n">
        <v>0</v>
      </c>
      <c r="R67" s="37">
        <f>IF(J67="","",TODAY()-DATE(LEFT(J67,4)*1,MID(J67,6,2)*1,RIGHT(J67,2)*1))</f>
        <v/>
      </c>
    </row>
    <row r="68" ht="18" customHeight="1" s="31">
      <c r="A68" s="38" t="n">
        <v>66</v>
      </c>
      <c r="B68" s="38" t="inlineStr">
        <is>
          <t>Melissa</t>
        </is>
      </c>
      <c r="C68" s="38" t="inlineStr">
        <is>
          <t>Puopolo</t>
        </is>
      </c>
      <c r="D68" s="38" t="inlineStr">
        <is>
          <t>University of North Carolina at Chapel Hill</t>
        </is>
      </c>
      <c r="E68" s="38" t="inlineStr">
        <is>
          <t>Clinical Psychology</t>
        </is>
      </c>
      <c r="F68" s="35" t="inlineStr">
        <is>
          <t>High</t>
        </is>
      </c>
      <c r="G68" s="35" t="inlineStr">
        <is>
          <t>High</t>
        </is>
      </c>
      <c r="H68" s="38" t="inlineStr">
        <is>
          <t>mpuopolo@unc.edu</t>
        </is>
      </c>
      <c r="I68" s="38" t="inlineStr">
        <is>
          <t>2026-04-02</t>
        </is>
      </c>
      <c r="J68" s="38" t="n"/>
      <c r="K68" s="38" t="inlineStr">
        <is>
          <t>NO</t>
        </is>
      </c>
      <c r="L68" s="39" t="inlineStr">
        <is>
          <t>New Lead</t>
        </is>
      </c>
      <c r="M68" s="38" t="n"/>
      <c r="N68" s="38" t="n"/>
      <c r="O68" s="38" t="n"/>
      <c r="P68" s="38" t="n">
        <v>2500</v>
      </c>
      <c r="Q68" s="38" t="n">
        <v>0</v>
      </c>
      <c r="R68" s="40">
        <f>IF(J68="","",TODAY()-DATE(LEFT(J68,4)*1,MID(J68,6,2)*1,RIGHT(J68,2)*1))</f>
        <v/>
      </c>
    </row>
    <row r="69" ht="18" customHeight="1" s="31">
      <c r="A69" s="34" t="n">
        <v>67</v>
      </c>
      <c r="B69" s="34" t="inlineStr">
        <is>
          <t>Paige</t>
        </is>
      </c>
      <c r="C69" s="34" t="inlineStr">
        <is>
          <t>Dadika</t>
        </is>
      </c>
      <c r="D69" s="34" t="inlineStr">
        <is>
          <t>University of Pennsylvania</t>
        </is>
      </c>
      <c r="E69" s="34" t="inlineStr">
        <is>
          <t>Social / Health Psychology</t>
        </is>
      </c>
      <c r="F69" s="35" t="inlineStr">
        <is>
          <t>High</t>
        </is>
      </c>
      <c r="G69" s="35" t="inlineStr">
        <is>
          <t>High</t>
        </is>
      </c>
      <c r="H69" s="34" t="inlineStr">
        <is>
          <t>pdadika@sas.upenn.edu</t>
        </is>
      </c>
      <c r="I69" s="34" t="inlineStr">
        <is>
          <t>2026-04-02</t>
        </is>
      </c>
      <c r="J69" s="34" t="n"/>
      <c r="K69" s="34" t="inlineStr">
        <is>
          <t>NO</t>
        </is>
      </c>
      <c r="L69" s="36" t="inlineStr">
        <is>
          <t>New Lead</t>
        </is>
      </c>
      <c r="M69" s="34" t="n"/>
      <c r="N69" s="34" t="n"/>
      <c r="O69" s="34" t="n"/>
      <c r="P69" s="34" t="n">
        <v>2500</v>
      </c>
      <c r="Q69" s="34" t="n">
        <v>0</v>
      </c>
      <c r="R69" s="37">
        <f>IF(J69="","",TODAY()-DATE(LEFT(J69,4)*1,MID(J69,6,2)*1,RIGHT(J69,2)*1))</f>
        <v/>
      </c>
    </row>
    <row r="70" ht="18" customHeight="1" s="31">
      <c r="A70" s="38" t="n">
        <v>68</v>
      </c>
      <c r="B70" s="38" t="inlineStr">
        <is>
          <t>Max</t>
        </is>
      </c>
      <c r="C70" s="38" t="inlineStr">
        <is>
          <t>Genecov</t>
        </is>
      </c>
      <c r="D70" s="38" t="inlineStr">
        <is>
          <t>University of Pennsylvania</t>
        </is>
      </c>
      <c r="E70" s="38" t="inlineStr">
        <is>
          <t>Social Psychology</t>
        </is>
      </c>
      <c r="F70" s="35" t="inlineStr">
        <is>
          <t>High</t>
        </is>
      </c>
      <c r="G70" s="35" t="inlineStr">
        <is>
          <t>High</t>
        </is>
      </c>
      <c r="H70" s="38" t="inlineStr">
        <is>
          <t>mgenecov@sas.upenn.edu</t>
        </is>
      </c>
      <c r="I70" s="38" t="inlineStr">
        <is>
          <t>2026-04-02</t>
        </is>
      </c>
      <c r="J70" s="38" t="n"/>
      <c r="K70" s="38" t="inlineStr">
        <is>
          <t>NO</t>
        </is>
      </c>
      <c r="L70" s="39" t="inlineStr">
        <is>
          <t>New Lead</t>
        </is>
      </c>
      <c r="M70" s="38" t="n"/>
      <c r="N70" s="38" t="n"/>
      <c r="O70" s="38" t="n"/>
      <c r="P70" s="38" t="n">
        <v>2500</v>
      </c>
      <c r="Q70" s="38" t="n">
        <v>0</v>
      </c>
      <c r="R70" s="40">
        <f>IF(J70="","",TODAY()-DATE(LEFT(J70,4)*1,MID(J70,6,2)*1,RIGHT(J70,2)*1))</f>
        <v/>
      </c>
    </row>
    <row r="71" ht="18" customHeight="1" s="31">
      <c r="A71" s="34" t="n">
        <v>69</v>
      </c>
      <c r="B71" s="34" t="inlineStr">
        <is>
          <t>Eva</t>
        </is>
      </c>
      <c r="C71" s="34" t="inlineStr">
        <is>
          <t>Minahan</t>
        </is>
      </c>
      <c r="D71" s="34" t="inlineStr">
        <is>
          <t>University of Pennsylvania</t>
        </is>
      </c>
      <c r="E71" s="34" t="inlineStr">
        <is>
          <t>Social / Developmental</t>
        </is>
      </c>
      <c r="F71" s="41" t="inlineStr">
        <is>
          <t>Medium</t>
        </is>
      </c>
      <c r="G71" s="41" t="inlineStr">
        <is>
          <t>Medium</t>
        </is>
      </c>
      <c r="H71" s="34" t="inlineStr">
        <is>
          <t>minahan@sas.upenn.edu</t>
        </is>
      </c>
      <c r="I71" s="34" t="inlineStr">
        <is>
          <t>2026-04-02</t>
        </is>
      </c>
      <c r="J71" s="34" t="n"/>
      <c r="K71" s="34" t="inlineStr">
        <is>
          <t>NO</t>
        </is>
      </c>
      <c r="L71" s="36" t="inlineStr">
        <is>
          <t>New Lead</t>
        </is>
      </c>
      <c r="M71" s="34" t="n"/>
      <c r="N71" s="34" t="n"/>
      <c r="O71" s="34" t="n"/>
      <c r="P71" s="34" t="n">
        <v>2500</v>
      </c>
      <c r="Q71" s="34" t="n">
        <v>0</v>
      </c>
      <c r="R71" s="37">
        <f>IF(J71="","",TODAY()-DATE(LEFT(J71,4)*1,MID(J71,6,2)*1,RIGHT(J71,2)*1))</f>
        <v/>
      </c>
    </row>
    <row r="72" ht="18" customHeight="1" s="31">
      <c r="A72" s="38" t="n">
        <v>70</v>
      </c>
      <c r="B72" s="38" t="inlineStr">
        <is>
          <t>Samantha</t>
        </is>
      </c>
      <c r="C72" s="38" t="inlineStr">
        <is>
          <t>Perlstein</t>
        </is>
      </c>
      <c r="D72" s="38" t="inlineStr">
        <is>
          <t>University of Pennsylvania</t>
        </is>
      </c>
      <c r="E72" s="38" t="inlineStr">
        <is>
          <t>Clinical / Affective</t>
        </is>
      </c>
      <c r="F72" s="41" t="inlineStr">
        <is>
          <t>Medium</t>
        </is>
      </c>
      <c r="G72" s="41" t="inlineStr">
        <is>
          <t>Medium</t>
        </is>
      </c>
      <c r="H72" s="38" t="inlineStr">
        <is>
          <t>sperl@sas.upenn.edu</t>
        </is>
      </c>
      <c r="I72" s="38" t="inlineStr">
        <is>
          <t>2026-04-02</t>
        </is>
      </c>
      <c r="J72" s="38" t="n"/>
      <c r="K72" s="38" t="inlineStr">
        <is>
          <t>NO</t>
        </is>
      </c>
      <c r="L72" s="39" t="inlineStr">
        <is>
          <t>New Lead</t>
        </is>
      </c>
      <c r="M72" s="38" t="n"/>
      <c r="N72" s="38" t="n"/>
      <c r="O72" s="38" t="n"/>
      <c r="P72" s="38" t="n">
        <v>2500</v>
      </c>
      <c r="Q72" s="38" t="n">
        <v>0</v>
      </c>
      <c r="R72" s="40">
        <f>IF(J72="","",TODAY()-DATE(LEFT(J72,4)*1,MID(J72,6,2)*1,RIGHT(J72,2)*1))</f>
        <v/>
      </c>
    </row>
    <row r="73" ht="18" customHeight="1" s="31">
      <c r="A73" s="34" t="n">
        <v>71</v>
      </c>
      <c r="B73" s="34" t="inlineStr">
        <is>
          <t>Noah</t>
        </is>
      </c>
      <c r="C73" s="34" t="inlineStr">
        <is>
          <t>Love</t>
        </is>
      </c>
      <c r="D73" s="34" t="inlineStr">
        <is>
          <t>University of Pennsylvania</t>
        </is>
      </c>
      <c r="E73" s="34" t="inlineStr">
        <is>
          <t>Social Psychology</t>
        </is>
      </c>
      <c r="F73" s="35" t="inlineStr">
        <is>
          <t>High</t>
        </is>
      </c>
      <c r="G73" s="35" t="inlineStr">
        <is>
          <t>High</t>
        </is>
      </c>
      <c r="H73" s="34" t="inlineStr">
        <is>
          <t>noahlove@sas.upenn.edu</t>
        </is>
      </c>
      <c r="I73" s="34" t="inlineStr">
        <is>
          <t>2026-04-02</t>
        </is>
      </c>
      <c r="J73" s="34" t="n"/>
      <c r="K73" s="34" t="inlineStr">
        <is>
          <t>NO</t>
        </is>
      </c>
      <c r="L73" s="36" t="inlineStr">
        <is>
          <t>New Lead</t>
        </is>
      </c>
      <c r="M73" s="34" t="n"/>
      <c r="N73" s="34" t="n"/>
      <c r="O73" s="34" t="n"/>
      <c r="P73" s="34" t="n">
        <v>2500</v>
      </c>
      <c r="Q73" s="34" t="n">
        <v>0</v>
      </c>
      <c r="R73" s="37">
        <f>IF(J73="","",TODAY()-DATE(LEFT(J73,4)*1,MID(J73,6,2)*1,RIGHT(J73,2)*1))</f>
        <v/>
      </c>
    </row>
    <row r="74" ht="18" customHeight="1" s="31">
      <c r="A74" s="38" t="n">
        <v>72</v>
      </c>
      <c r="B74" s="38" t="inlineStr">
        <is>
          <t>Camila</t>
        </is>
      </c>
      <c r="C74" s="38" t="inlineStr">
        <is>
          <t>Romero</t>
        </is>
      </c>
      <c r="D74" s="38" t="inlineStr">
        <is>
          <t>University of Pennsylvania</t>
        </is>
      </c>
      <c r="E74" s="38" t="inlineStr">
        <is>
          <t>Social / Cultural</t>
        </is>
      </c>
      <c r="F74" s="41" t="inlineStr">
        <is>
          <t>Medium</t>
        </is>
      </c>
      <c r="G74" s="41" t="inlineStr">
        <is>
          <t>Medium</t>
        </is>
      </c>
      <c r="H74" s="38" t="inlineStr">
        <is>
          <t>romero2@sas.upenn.edu</t>
        </is>
      </c>
      <c r="I74" s="38" t="inlineStr">
        <is>
          <t>2026-04-02</t>
        </is>
      </c>
      <c r="J74" s="38" t="n"/>
      <c r="K74" s="38" t="inlineStr">
        <is>
          <t>NO</t>
        </is>
      </c>
      <c r="L74" s="39" t="inlineStr">
        <is>
          <t>New Lead</t>
        </is>
      </c>
      <c r="M74" s="38" t="n"/>
      <c r="N74" s="38" t="n"/>
      <c r="O74" s="38" t="n"/>
      <c r="P74" s="38" t="n">
        <v>2500</v>
      </c>
      <c r="Q74" s="38" t="n">
        <v>0</v>
      </c>
      <c r="R74" s="40">
        <f>IF(J74="","",TODAY()-DATE(LEFT(J74,4)*1,MID(J74,6,2)*1,RIGHT(J74,2)*1))</f>
        <v/>
      </c>
    </row>
    <row r="75" ht="18" customHeight="1" s="31">
      <c r="A75" s="34" t="n">
        <v>73</v>
      </c>
      <c r="B75" s="34" t="inlineStr">
        <is>
          <t>Ryan</t>
        </is>
      </c>
      <c r="C75" s="34" t="inlineStr">
        <is>
          <t>Wheat</t>
        </is>
      </c>
      <c r="D75" s="34" t="inlineStr">
        <is>
          <t>University of Pennsylvania</t>
        </is>
      </c>
      <c r="E75" s="34" t="inlineStr">
        <is>
          <t>Cognitive / Decision</t>
        </is>
      </c>
      <c r="F75" s="35" t="inlineStr">
        <is>
          <t>High</t>
        </is>
      </c>
      <c r="G75" s="41" t="inlineStr">
        <is>
          <t>Medium</t>
        </is>
      </c>
      <c r="H75" s="34" t="inlineStr">
        <is>
          <t>rwheat@sas.upenn.edu</t>
        </is>
      </c>
      <c r="I75" s="34" t="inlineStr">
        <is>
          <t>2026-04-02</t>
        </is>
      </c>
      <c r="J75" s="34" t="n"/>
      <c r="K75" s="34" t="inlineStr">
        <is>
          <t>NO</t>
        </is>
      </c>
      <c r="L75" s="36" t="inlineStr">
        <is>
          <t>New Lead</t>
        </is>
      </c>
      <c r="M75" s="34" t="n"/>
      <c r="N75" s="34" t="n"/>
      <c r="O75" s="34" t="n"/>
      <c r="P75" s="34" t="n">
        <v>2500</v>
      </c>
      <c r="Q75" s="34" t="n">
        <v>0</v>
      </c>
      <c r="R75" s="37">
        <f>IF(J75="","",TODAY()-DATE(LEFT(J75,4)*1,MID(J75,6,2)*1,RIGHT(J75,2)*1))</f>
        <v/>
      </c>
    </row>
    <row r="76" ht="18" customHeight="1" s="31">
      <c r="A76" s="38" t="n">
        <v>74</v>
      </c>
      <c r="B76" s="38" t="inlineStr">
        <is>
          <t>Feiyi</t>
        </is>
      </c>
      <c r="C76" s="38" t="inlineStr">
        <is>
          <t>Wang</t>
        </is>
      </c>
      <c r="D76" s="38" t="inlineStr">
        <is>
          <t>University of Pennsylvania</t>
        </is>
      </c>
      <c r="E76" s="38" t="inlineStr">
        <is>
          <t>Quantitative Psychology</t>
        </is>
      </c>
      <c r="F76" s="35" t="inlineStr">
        <is>
          <t>High</t>
        </is>
      </c>
      <c r="G76" s="35" t="inlineStr">
        <is>
          <t>High</t>
        </is>
      </c>
      <c r="H76" s="38" t="inlineStr">
        <is>
          <t>feiyiw@sas.upenn.edu</t>
        </is>
      </c>
      <c r="I76" s="38" t="inlineStr">
        <is>
          <t>2026-04-02</t>
        </is>
      </c>
      <c r="J76" s="38" t="n"/>
      <c r="K76" s="38" t="inlineStr">
        <is>
          <t>NO</t>
        </is>
      </c>
      <c r="L76" s="39" t="inlineStr">
        <is>
          <t>New Lead</t>
        </is>
      </c>
      <c r="M76" s="38" t="n"/>
      <c r="N76" s="38" t="n"/>
      <c r="O76" s="38" t="n"/>
      <c r="P76" s="38" t="n">
        <v>2500</v>
      </c>
      <c r="Q76" s="38" t="n">
        <v>0</v>
      </c>
      <c r="R76" s="40">
        <f>IF(J76="","",TODAY()-DATE(LEFT(J76,4)*1,MID(J76,6,2)*1,RIGHT(J76,2)*1))</f>
        <v/>
      </c>
    </row>
    <row r="77" ht="18" customHeight="1" s="31">
      <c r="A77" s="34" t="n">
        <v>75</v>
      </c>
      <c r="B77" s="34" t="inlineStr">
        <is>
          <t>Yufan</t>
        </is>
      </c>
      <c r="C77" s="34" t="inlineStr">
        <is>
          <t>Ye</t>
        </is>
      </c>
      <c r="D77" s="34" t="inlineStr">
        <is>
          <t>University of Pennsylvania</t>
        </is>
      </c>
      <c r="E77" s="34" t="inlineStr">
        <is>
          <t>Behavioral Science</t>
        </is>
      </c>
      <c r="F77" s="35" t="inlineStr">
        <is>
          <t>High</t>
        </is>
      </c>
      <c r="G77" s="35" t="inlineStr">
        <is>
          <t>High</t>
        </is>
      </c>
      <c r="H77" s="34" t="inlineStr">
        <is>
          <t>yufany@sas.upenn.edu</t>
        </is>
      </c>
      <c r="I77" s="34" t="inlineStr">
        <is>
          <t>2026-04-02</t>
        </is>
      </c>
      <c r="J77" s="34" t="n"/>
      <c r="K77" s="34" t="inlineStr">
        <is>
          <t>NO</t>
        </is>
      </c>
      <c r="L77" s="36" t="inlineStr">
        <is>
          <t>New Lead</t>
        </is>
      </c>
      <c r="M77" s="34" t="n"/>
      <c r="N77" s="34" t="n"/>
      <c r="O77" s="34" t="n"/>
      <c r="P77" s="34" t="n">
        <v>2500</v>
      </c>
      <c r="Q77" s="34" t="n">
        <v>0</v>
      </c>
      <c r="R77" s="37">
        <f>IF(J77="","",TODAY()-DATE(LEFT(J77,4)*1,MID(J77,6,2)*1,RIGHT(J77,2)*1))</f>
        <v/>
      </c>
    </row>
    <row r="78" ht="18" customHeight="1" s="31">
      <c r="A78" s="38" t="n">
        <v>76</v>
      </c>
      <c r="B78" s="38" t="inlineStr">
        <is>
          <t>Maayan</t>
        </is>
      </c>
      <c r="C78" s="38" t="inlineStr">
        <is>
          <t>Ziv</t>
        </is>
      </c>
      <c r="D78" s="38" t="inlineStr">
        <is>
          <t>University of Pennsylvania</t>
        </is>
      </c>
      <c r="E78" s="38" t="inlineStr">
        <is>
          <t>Social Psychology</t>
        </is>
      </c>
      <c r="F78" s="35" t="inlineStr">
        <is>
          <t>High</t>
        </is>
      </c>
      <c r="G78" s="35" t="inlineStr">
        <is>
          <t>High</t>
        </is>
      </c>
      <c r="H78" s="38" t="inlineStr">
        <is>
          <t>mziv@sas.upenn.edu</t>
        </is>
      </c>
      <c r="I78" s="38" t="inlineStr">
        <is>
          <t>2026-04-02</t>
        </is>
      </c>
      <c r="J78" s="38" t="n"/>
      <c r="K78" s="38" t="inlineStr">
        <is>
          <t>NO</t>
        </is>
      </c>
      <c r="L78" s="39" t="inlineStr">
        <is>
          <t>New Lead</t>
        </is>
      </c>
      <c r="M78" s="38" t="n"/>
      <c r="N78" s="38" t="n"/>
      <c r="O78" s="38" t="n"/>
      <c r="P78" s="38" t="n">
        <v>2500</v>
      </c>
      <c r="Q78" s="38" t="n">
        <v>0</v>
      </c>
      <c r="R78" s="40">
        <f>IF(J78="","",TODAY()-DATE(LEFT(J78,4)*1,MID(J78,6,2)*1,RIGHT(J78,2)*1))</f>
        <v/>
      </c>
    </row>
    <row r="79" ht="18" customHeight="1" s="31">
      <c r="A79" s="34" t="n">
        <v>77</v>
      </c>
      <c r="B79" s="34" t="inlineStr">
        <is>
          <t>Grace</t>
        </is>
      </c>
      <c r="C79" s="34" t="inlineStr">
        <is>
          <t>Anderson</t>
        </is>
      </c>
      <c r="D79" s="34" t="inlineStr">
        <is>
          <t>Michigan State University</t>
        </is>
      </c>
      <c r="E79" s="34" t="inlineStr">
        <is>
          <t>Clinical Science</t>
        </is>
      </c>
      <c r="F79" s="41" t="inlineStr">
        <is>
          <t>Medium</t>
        </is>
      </c>
      <c r="G79" s="35" t="inlineStr">
        <is>
          <t>High</t>
        </is>
      </c>
      <c r="H79" s="34" t="inlineStr">
        <is>
          <t>ande2458@msu.edu</t>
        </is>
      </c>
      <c r="I79" s="34" t="inlineStr">
        <is>
          <t>2026-04-02</t>
        </is>
      </c>
      <c r="J79" s="34" t="n"/>
      <c r="K79" s="34" t="inlineStr">
        <is>
          <t>NO</t>
        </is>
      </c>
      <c r="L79" s="36" t="inlineStr">
        <is>
          <t>New Lead</t>
        </is>
      </c>
      <c r="M79" s="34" t="n"/>
      <c r="N79" s="34" t="n"/>
      <c r="O79" s="34" t="n"/>
      <c r="P79" s="34" t="n">
        <v>2500</v>
      </c>
      <c r="Q79" s="34" t="n">
        <v>0</v>
      </c>
      <c r="R79" s="37">
        <f>IF(J79="","",TODAY()-DATE(LEFT(J79,4)*1,MID(J79,6,2)*1,RIGHT(J79,2)*1))</f>
        <v/>
      </c>
    </row>
    <row r="80" ht="18" customHeight="1" s="31">
      <c r="A80" s="38" t="n">
        <v>78</v>
      </c>
      <c r="B80" s="38" t="inlineStr">
        <is>
          <t>Reid</t>
        </is>
      </c>
      <c r="C80" s="38" t="inlineStr">
        <is>
          <t>Davis</t>
        </is>
      </c>
      <c r="D80" s="38" t="inlineStr">
        <is>
          <t>Michigan State University</t>
        </is>
      </c>
      <c r="E80" s="38" t="inlineStr">
        <is>
          <t>Clinical Science</t>
        </is>
      </c>
      <c r="F80" s="41" t="inlineStr">
        <is>
          <t>Medium</t>
        </is>
      </c>
      <c r="G80" s="35" t="inlineStr">
        <is>
          <t>High</t>
        </is>
      </c>
      <c r="H80" s="38" t="inlineStr">
        <is>
          <t>davise82@msu.edu</t>
        </is>
      </c>
      <c r="I80" s="38" t="inlineStr">
        <is>
          <t>2026-04-02</t>
        </is>
      </c>
      <c r="J80" s="38" t="n"/>
      <c r="K80" s="38" t="inlineStr">
        <is>
          <t>NO</t>
        </is>
      </c>
      <c r="L80" s="39" t="inlineStr">
        <is>
          <t>New Lead</t>
        </is>
      </c>
      <c r="M80" s="38" t="n"/>
      <c r="N80" s="38" t="n"/>
      <c r="O80" s="38" t="n"/>
      <c r="P80" s="38" t="n">
        <v>2500</v>
      </c>
      <c r="Q80" s="38" t="n">
        <v>0</v>
      </c>
      <c r="R80" s="40">
        <f>IF(J80="","",TODAY()-DATE(LEFT(J80,4)*1,MID(J80,6,2)*1,RIGHT(J80,2)*1))</f>
        <v/>
      </c>
    </row>
    <row r="81" ht="18" customHeight="1" s="31">
      <c r="A81" s="34" t="n">
        <v>79</v>
      </c>
      <c r="B81" s="34" t="inlineStr">
        <is>
          <t>Christophe</t>
        </is>
      </c>
      <c r="C81" s="34" t="inlineStr">
        <is>
          <t>Delay</t>
        </is>
      </c>
      <c r="D81" s="34" t="inlineStr">
        <is>
          <t>Michigan State University</t>
        </is>
      </c>
      <c r="E81" s="34" t="inlineStr">
        <is>
          <t>Clinical Science</t>
        </is>
      </c>
      <c r="F81" s="41" t="inlineStr">
        <is>
          <t>Medium</t>
        </is>
      </c>
      <c r="G81" s="35" t="inlineStr">
        <is>
          <t>High</t>
        </is>
      </c>
      <c r="H81" s="34" t="inlineStr">
        <is>
          <t>delaychr@msu.edu</t>
        </is>
      </c>
      <c r="I81" s="34" t="inlineStr">
        <is>
          <t>2026-04-02</t>
        </is>
      </c>
      <c r="J81" s="34" t="n"/>
      <c r="K81" s="34" t="inlineStr">
        <is>
          <t>NO</t>
        </is>
      </c>
      <c r="L81" s="36" t="inlineStr">
        <is>
          <t>New Lead</t>
        </is>
      </c>
      <c r="M81" s="34" t="n"/>
      <c r="N81" s="34" t="n"/>
      <c r="O81" s="34" t="n"/>
      <c r="P81" s="34" t="n">
        <v>2500</v>
      </c>
      <c r="Q81" s="34" t="n">
        <v>0</v>
      </c>
      <c r="R81" s="37">
        <f>IF(J81="","",TODAY()-DATE(LEFT(J81,4)*1,MID(J81,6,2)*1,RIGHT(J81,2)*1))</f>
        <v/>
      </c>
    </row>
    <row r="82" ht="18" customHeight="1" s="31">
      <c r="A82" s="38" t="n">
        <v>80</v>
      </c>
      <c r="B82" s="38" t="inlineStr">
        <is>
          <t>Logan</t>
        </is>
      </c>
      <c r="C82" s="38" t="inlineStr">
        <is>
          <t>Gillenwater</t>
        </is>
      </c>
      <c r="D82" s="38" t="inlineStr">
        <is>
          <t>Michigan State University</t>
        </is>
      </c>
      <c r="E82" s="38" t="inlineStr">
        <is>
          <t>Clinical Science</t>
        </is>
      </c>
      <c r="F82" s="41" t="inlineStr">
        <is>
          <t>Medium</t>
        </is>
      </c>
      <c r="G82" s="35" t="inlineStr">
        <is>
          <t>High</t>
        </is>
      </c>
      <c r="H82" s="38" t="inlineStr">
        <is>
          <t>gillenw6@msu.edu</t>
        </is>
      </c>
      <c r="I82" s="38" t="inlineStr">
        <is>
          <t>2026-04-02</t>
        </is>
      </c>
      <c r="J82" s="38" t="n"/>
      <c r="K82" s="38" t="inlineStr">
        <is>
          <t>NO</t>
        </is>
      </c>
      <c r="L82" s="39" t="inlineStr">
        <is>
          <t>New Lead</t>
        </is>
      </c>
      <c r="M82" s="38" t="n"/>
      <c r="N82" s="38" t="n"/>
      <c r="O82" s="38" t="n"/>
      <c r="P82" s="38" t="n">
        <v>2500</v>
      </c>
      <c r="Q82" s="38" t="n">
        <v>0</v>
      </c>
      <c r="R82" s="40">
        <f>IF(J82="","",TODAY()-DATE(LEFT(J82,4)*1,MID(J82,6,2)*1,RIGHT(J82,2)*1))</f>
        <v/>
      </c>
    </row>
    <row r="83" ht="18" customHeight="1" s="31">
      <c r="A83" s="34" t="n">
        <v>81</v>
      </c>
      <c r="B83" s="34" t="inlineStr">
        <is>
          <t>Alexandra</t>
        </is>
      </c>
      <c r="C83" s="34" t="inlineStr">
        <is>
          <t>Ballinger</t>
        </is>
      </c>
      <c r="D83" s="34" t="inlineStr">
        <is>
          <t>Michigan State University</t>
        </is>
      </c>
      <c r="E83" s="34" t="inlineStr">
        <is>
          <t>Clinical Science</t>
        </is>
      </c>
      <c r="F83" s="41" t="inlineStr">
        <is>
          <t>Medium</t>
        </is>
      </c>
      <c r="G83" s="35" t="inlineStr">
        <is>
          <t>High</t>
        </is>
      </c>
      <c r="H83" s="34" t="inlineStr">
        <is>
          <t>ballin16@msu.edu</t>
        </is>
      </c>
      <c r="I83" s="34" t="inlineStr">
        <is>
          <t>2026-04-02</t>
        </is>
      </c>
      <c r="J83" s="34" t="n"/>
      <c r="K83" s="34" t="inlineStr">
        <is>
          <t>NO</t>
        </is>
      </c>
      <c r="L83" s="36" t="inlineStr">
        <is>
          <t>New Lead</t>
        </is>
      </c>
      <c r="M83" s="34" t="n"/>
      <c r="N83" s="34" t="n"/>
      <c r="O83" s="34" t="n"/>
      <c r="P83" s="34" t="n">
        <v>2500</v>
      </c>
      <c r="Q83" s="34" t="n">
        <v>0</v>
      </c>
      <c r="R83" s="37">
        <f>IF(J83="","",TODAY()-DATE(LEFT(J83,4)*1,MID(J83,6,2)*1,RIGHT(J83,2)*1))</f>
        <v/>
      </c>
    </row>
    <row r="84" ht="18" customHeight="1" s="31">
      <c r="A84" s="38" t="n">
        <v>82</v>
      </c>
      <c r="B84" s="38" t="inlineStr">
        <is>
          <t>Kalei</t>
        </is>
      </c>
      <c r="C84" s="38" t="inlineStr">
        <is>
          <t>Glozier</t>
        </is>
      </c>
      <c r="D84" s="38" t="inlineStr">
        <is>
          <t>Michigan State University</t>
        </is>
      </c>
      <c r="E84" s="38" t="inlineStr">
        <is>
          <t>Clinical Science</t>
        </is>
      </c>
      <c r="F84" s="41" t="inlineStr">
        <is>
          <t>Medium</t>
        </is>
      </c>
      <c r="G84" s="35" t="inlineStr">
        <is>
          <t>High</t>
        </is>
      </c>
      <c r="H84" s="38" t="inlineStr">
        <is>
          <t>glozierw@msu.edu</t>
        </is>
      </c>
      <c r="I84" s="38" t="inlineStr">
        <is>
          <t>2026-04-02</t>
        </is>
      </c>
      <c r="J84" s="38" t="n"/>
      <c r="K84" s="38" t="inlineStr">
        <is>
          <t>NO</t>
        </is>
      </c>
      <c r="L84" s="39" t="inlineStr">
        <is>
          <t>New Lead</t>
        </is>
      </c>
      <c r="M84" s="38" t="n"/>
      <c r="N84" s="38" t="n"/>
      <c r="O84" s="38" t="n"/>
      <c r="P84" s="38" t="n">
        <v>2500</v>
      </c>
      <c r="Q84" s="38" t="n">
        <v>0</v>
      </c>
      <c r="R84" s="40">
        <f>IF(J84="","",TODAY()-DATE(LEFT(J84,4)*1,MID(J84,6,2)*1,RIGHT(J84,2)*1))</f>
        <v/>
      </c>
    </row>
    <row r="85" ht="18" customHeight="1" s="31">
      <c r="A85" s="34" t="n">
        <v>83</v>
      </c>
      <c r="B85" s="34" t="inlineStr">
        <is>
          <t>Devon</t>
        </is>
      </c>
      <c r="C85" s="34" t="inlineStr">
        <is>
          <t>Kimball</t>
        </is>
      </c>
      <c r="D85" s="34" t="inlineStr">
        <is>
          <t>Michigan State University</t>
        </is>
      </c>
      <c r="E85" s="34" t="inlineStr">
        <is>
          <t>Clinical Science</t>
        </is>
      </c>
      <c r="F85" s="41" t="inlineStr">
        <is>
          <t>Medium</t>
        </is>
      </c>
      <c r="G85" s="35" t="inlineStr">
        <is>
          <t>High</t>
        </is>
      </c>
      <c r="H85" s="34" t="inlineStr">
        <is>
          <t>kimbal73@msu.edu</t>
        </is>
      </c>
      <c r="I85" s="34" t="inlineStr">
        <is>
          <t>2026-04-02</t>
        </is>
      </c>
      <c r="J85" s="34" t="n"/>
      <c r="K85" s="34" t="inlineStr">
        <is>
          <t>NO</t>
        </is>
      </c>
      <c r="L85" s="36" t="inlineStr">
        <is>
          <t>New Lead</t>
        </is>
      </c>
      <c r="M85" s="34" t="n"/>
      <c r="N85" s="34" t="n"/>
      <c r="O85" s="34" t="n"/>
      <c r="P85" s="34" t="n">
        <v>2500</v>
      </c>
      <c r="Q85" s="34" t="n">
        <v>0</v>
      </c>
      <c r="R85" s="37">
        <f>IF(J85="","",TODAY()-DATE(LEFT(J85,4)*1,MID(J85,6,2)*1,RIGHT(J85,2)*1))</f>
        <v/>
      </c>
    </row>
    <row r="86" ht="18" customHeight="1" s="31">
      <c r="A86" s="38" t="n">
        <v>84</v>
      </c>
      <c r="B86" s="38" t="inlineStr">
        <is>
          <t>Ana</t>
        </is>
      </c>
      <c r="C86" s="38" t="inlineStr">
        <is>
          <t>Pomales Ramos</t>
        </is>
      </c>
      <c r="D86" s="38" t="inlineStr">
        <is>
          <t>Michigan State University</t>
        </is>
      </c>
      <c r="E86" s="38" t="inlineStr">
        <is>
          <t>Clinical Science</t>
        </is>
      </c>
      <c r="F86" s="41" t="inlineStr">
        <is>
          <t>Medium</t>
        </is>
      </c>
      <c r="G86" s="35" t="inlineStr">
        <is>
          <t>High</t>
        </is>
      </c>
      <c r="H86" s="38" t="inlineStr">
        <is>
          <t>pomalesr@msu.edu</t>
        </is>
      </c>
      <c r="I86" s="38" t="inlineStr">
        <is>
          <t>2026-04-02</t>
        </is>
      </c>
      <c r="J86" s="38" t="n"/>
      <c r="K86" s="38" t="inlineStr">
        <is>
          <t>NO</t>
        </is>
      </c>
      <c r="L86" s="39" t="inlineStr">
        <is>
          <t>New Lead</t>
        </is>
      </c>
      <c r="M86" s="38" t="n"/>
      <c r="N86" s="38" t="n"/>
      <c r="O86" s="38" t="n"/>
      <c r="P86" s="38" t="n">
        <v>2500</v>
      </c>
      <c r="Q86" s="38" t="n">
        <v>0</v>
      </c>
      <c r="R86" s="40">
        <f>IF(J86="","",TODAY()-DATE(LEFT(J86,4)*1,MID(J86,6,2)*1,RIGHT(J86,2)*1))</f>
        <v/>
      </c>
    </row>
    <row r="87" ht="18" customHeight="1" s="31">
      <c r="A87" s="34" t="n">
        <v>85</v>
      </c>
      <c r="B87" s="34" t="inlineStr">
        <is>
          <t>Kenan</t>
        </is>
      </c>
      <c r="C87" s="34" t="inlineStr">
        <is>
          <t>Sayers</t>
        </is>
      </c>
      <c r="D87" s="34" t="inlineStr">
        <is>
          <t>Michigan State University</t>
        </is>
      </c>
      <c r="E87" s="34" t="inlineStr">
        <is>
          <t>Clinical Science</t>
        </is>
      </c>
      <c r="F87" s="41" t="inlineStr">
        <is>
          <t>Medium</t>
        </is>
      </c>
      <c r="G87" s="35" t="inlineStr">
        <is>
          <t>High</t>
        </is>
      </c>
      <c r="H87" s="34" t="inlineStr">
        <is>
          <t>sayersk1@msu.edu</t>
        </is>
      </c>
      <c r="I87" s="34" t="inlineStr">
        <is>
          <t>2026-04-02</t>
        </is>
      </c>
      <c r="J87" s="34" t="n"/>
      <c r="K87" s="34" t="inlineStr">
        <is>
          <t>NO</t>
        </is>
      </c>
      <c r="L87" s="36" t="inlineStr">
        <is>
          <t>New Lead</t>
        </is>
      </c>
      <c r="M87" s="34" t="n"/>
      <c r="N87" s="34" t="n"/>
      <c r="O87" s="34" t="n"/>
      <c r="P87" s="34" t="n">
        <v>2500</v>
      </c>
      <c r="Q87" s="34" t="n">
        <v>0</v>
      </c>
      <c r="R87" s="37">
        <f>IF(J87="","",TODAY()-DATE(LEFT(J87,4)*1,MID(J87,6,2)*1,RIGHT(J87,2)*1))</f>
        <v/>
      </c>
    </row>
    <row r="88" ht="18" customHeight="1" s="31">
      <c r="A88" s="38" t="n">
        <v>86</v>
      </c>
      <c r="B88" s="38" t="inlineStr">
        <is>
          <t>Jessica</t>
        </is>
      </c>
      <c r="C88" s="38" t="inlineStr">
        <is>
          <t>Tschida</t>
        </is>
      </c>
      <c r="D88" s="38" t="inlineStr">
        <is>
          <t>Michigan State University</t>
        </is>
      </c>
      <c r="E88" s="38" t="inlineStr">
        <is>
          <t>Clinical Science</t>
        </is>
      </c>
      <c r="F88" s="41" t="inlineStr">
        <is>
          <t>Medium</t>
        </is>
      </c>
      <c r="G88" s="35" t="inlineStr">
        <is>
          <t>High</t>
        </is>
      </c>
      <c r="H88" s="38" t="inlineStr">
        <is>
          <t>tschidaj@msu.edu</t>
        </is>
      </c>
      <c r="I88" s="38" t="inlineStr">
        <is>
          <t>2026-04-02</t>
        </is>
      </c>
      <c r="J88" s="38" t="n"/>
      <c r="K88" s="38" t="inlineStr">
        <is>
          <t>NO</t>
        </is>
      </c>
      <c r="L88" s="39" t="inlineStr">
        <is>
          <t>New Lead</t>
        </is>
      </c>
      <c r="M88" s="38" t="n"/>
      <c r="N88" s="38" t="n"/>
      <c r="O88" s="38" t="n"/>
      <c r="P88" s="38" t="n">
        <v>2500</v>
      </c>
      <c r="Q88" s="38" t="n">
        <v>0</v>
      </c>
      <c r="R88" s="40">
        <f>IF(J88="","",TODAY()-DATE(LEFT(J88,4)*1,MID(J88,6,2)*1,RIGHT(J88,2)*1))</f>
        <v/>
      </c>
    </row>
    <row r="89" ht="18" customHeight="1" s="31">
      <c r="A89" s="34" t="n">
        <v>87</v>
      </c>
      <c r="B89" s="34" t="inlineStr">
        <is>
          <t>Hannah</t>
        </is>
      </c>
      <c r="C89" s="34" t="inlineStr">
        <is>
          <t>Tokish</t>
        </is>
      </c>
      <c r="D89" s="34" t="inlineStr">
        <is>
          <t>Michigan State University</t>
        </is>
      </c>
      <c r="E89" s="34" t="inlineStr">
        <is>
          <t>Clinical Science</t>
        </is>
      </c>
      <c r="F89" s="41" t="inlineStr">
        <is>
          <t>Medium</t>
        </is>
      </c>
      <c r="G89" s="35" t="inlineStr">
        <is>
          <t>High</t>
        </is>
      </c>
      <c r="H89" s="34" t="inlineStr">
        <is>
          <t>tokishha@msu.edu</t>
        </is>
      </c>
      <c r="I89" s="34" t="inlineStr">
        <is>
          <t>2026-04-02</t>
        </is>
      </c>
      <c r="J89" s="34" t="n"/>
      <c r="K89" s="34" t="inlineStr">
        <is>
          <t>NO</t>
        </is>
      </c>
      <c r="L89" s="36" t="inlineStr">
        <is>
          <t>New Lead</t>
        </is>
      </c>
      <c r="M89" s="34" t="n"/>
      <c r="N89" s="34" t="n"/>
      <c r="O89" s="34" t="n"/>
      <c r="P89" s="34" t="n">
        <v>2500</v>
      </c>
      <c r="Q89" s="34" t="n">
        <v>0</v>
      </c>
      <c r="R89" s="37">
        <f>IF(J89="","",TODAY()-DATE(LEFT(J89,4)*1,MID(J89,6,2)*1,RIGHT(J89,2)*1))</f>
        <v/>
      </c>
    </row>
    <row r="90" ht="18" customHeight="1" s="31">
      <c r="A90" s="38" t="n">
        <v>88</v>
      </c>
      <c r="B90" s="38" t="inlineStr">
        <is>
          <t>Katarina</t>
        </is>
      </c>
      <c r="C90" s="38" t="inlineStr">
        <is>
          <t>(Kate) AuBuchon</t>
        </is>
      </c>
      <c r="D90" s="38" t="inlineStr">
        <is>
          <t>George Washington University</t>
        </is>
      </c>
      <c r="E90" s="38" t="inlineStr">
        <is>
          <t>Applied Social Psychology</t>
        </is>
      </c>
      <c r="F90" s="35" t="inlineStr">
        <is>
          <t>High</t>
        </is>
      </c>
      <c r="G90" s="35" t="inlineStr">
        <is>
          <t>High</t>
        </is>
      </c>
      <c r="H90" s="38" t="inlineStr">
        <is>
          <t>kateaubuchon@gwu.edu</t>
        </is>
      </c>
      <c r="I90" s="38" t="inlineStr">
        <is>
          <t>2026-04-02</t>
        </is>
      </c>
      <c r="J90" s="38" t="n"/>
      <c r="K90" s="38" t="inlineStr">
        <is>
          <t>NO</t>
        </is>
      </c>
      <c r="L90" s="39" t="inlineStr">
        <is>
          <t>New Lead</t>
        </is>
      </c>
      <c r="M90" s="38" t="n"/>
      <c r="N90" s="38" t="n"/>
      <c r="O90" s="38" t="n"/>
      <c r="P90" s="38" t="n">
        <v>2500</v>
      </c>
      <c r="Q90" s="38" t="n">
        <v>0</v>
      </c>
      <c r="R90" s="40">
        <f>IF(J90="","",TODAY()-DATE(LEFT(J90,4)*1,MID(J90,6,2)*1,RIGHT(J90,2)*1))</f>
        <v/>
      </c>
    </row>
    <row r="91" ht="18" customHeight="1" s="31">
      <c r="A91" s="34" t="n">
        <v>89</v>
      </c>
      <c r="B91" s="34" t="inlineStr">
        <is>
          <t>Cheriko</t>
        </is>
      </c>
      <c r="C91" s="34" t="inlineStr">
        <is>
          <t>(Riko) A. Boone</t>
        </is>
      </c>
      <c r="D91" s="34" t="inlineStr">
        <is>
          <t>George Washington University</t>
        </is>
      </c>
      <c r="E91" s="34" t="inlineStr">
        <is>
          <t>Applied Social Psychology</t>
        </is>
      </c>
      <c r="F91" s="35" t="inlineStr">
        <is>
          <t>High</t>
        </is>
      </c>
      <c r="G91" s="35" t="inlineStr">
        <is>
          <t>High</t>
        </is>
      </c>
      <c r="H91" s="34" t="inlineStr">
        <is>
          <t>RikoBoone@gwu.edu</t>
        </is>
      </c>
      <c r="I91" s="34" t="inlineStr">
        <is>
          <t>2026-04-02</t>
        </is>
      </c>
      <c r="J91" s="34" t="n"/>
      <c r="K91" s="34" t="inlineStr">
        <is>
          <t>NO</t>
        </is>
      </c>
      <c r="L91" s="36" t="inlineStr">
        <is>
          <t>New Lead</t>
        </is>
      </c>
      <c r="M91" s="34" t="n"/>
      <c r="N91" s="34" t="n"/>
      <c r="O91" s="34" t="n"/>
      <c r="P91" s="34" t="n">
        <v>2500</v>
      </c>
      <c r="Q91" s="34" t="n">
        <v>0</v>
      </c>
      <c r="R91" s="37">
        <f>IF(J91="","",TODAY()-DATE(LEFT(J91,4)*1,MID(J91,6,2)*1,RIGHT(J91,2)*1))</f>
        <v/>
      </c>
    </row>
    <row r="92" ht="18" customHeight="1" s="31">
      <c r="A92" s="38" t="n">
        <v>90</v>
      </c>
      <c r="B92" s="38" t="inlineStr">
        <is>
          <t>Charlotte</t>
        </is>
      </c>
      <c r="C92" s="38" t="inlineStr">
        <is>
          <t>Hagerman</t>
        </is>
      </c>
      <c r="D92" s="38" t="inlineStr">
        <is>
          <t>George Washington University</t>
        </is>
      </c>
      <c r="E92" s="38" t="inlineStr">
        <is>
          <t>Applied Social Psychology</t>
        </is>
      </c>
      <c r="F92" s="35" t="inlineStr">
        <is>
          <t>High</t>
        </is>
      </c>
      <c r="G92" s="35" t="inlineStr">
        <is>
          <t>High</t>
        </is>
      </c>
      <c r="H92" s="38" t="inlineStr">
        <is>
          <t>cjhagerman@gwu.edu</t>
        </is>
      </c>
      <c r="I92" s="38" t="inlineStr">
        <is>
          <t>2026-04-02</t>
        </is>
      </c>
      <c r="J92" s="38" t="n"/>
      <c r="K92" s="38" t="inlineStr">
        <is>
          <t>NO</t>
        </is>
      </c>
      <c r="L92" s="39" t="inlineStr">
        <is>
          <t>New Lead</t>
        </is>
      </c>
      <c r="M92" s="38" t="n"/>
      <c r="N92" s="38" t="n"/>
      <c r="O92" s="38" t="n"/>
      <c r="P92" s="38" t="n">
        <v>2500</v>
      </c>
      <c r="Q92" s="38" t="n">
        <v>0</v>
      </c>
      <c r="R92" s="40">
        <f>IF(J92="","",TODAY()-DATE(LEFT(J92,4)*1,MID(J92,6,2)*1,RIGHT(J92,2)*1))</f>
        <v/>
      </c>
    </row>
    <row r="93" ht="18" customHeight="1" s="31">
      <c r="A93" s="34" t="n">
        <v>91</v>
      </c>
      <c r="B93" s="34" t="inlineStr">
        <is>
          <t>Luke</t>
        </is>
      </c>
      <c r="C93" s="34" t="inlineStr">
        <is>
          <t>Herchenroeder</t>
        </is>
      </c>
      <c r="D93" s="34" t="inlineStr">
        <is>
          <t>George Washington University</t>
        </is>
      </c>
      <c r="E93" s="34" t="inlineStr">
        <is>
          <t>Applied Social Psychology</t>
        </is>
      </c>
      <c r="F93" s="35" t="inlineStr">
        <is>
          <t>High</t>
        </is>
      </c>
      <c r="G93" s="35" t="inlineStr">
        <is>
          <t>High</t>
        </is>
      </c>
      <c r="H93" s="34" t="inlineStr">
        <is>
          <t>lherchenroeder@gwmail.gwu.edu</t>
        </is>
      </c>
      <c r="I93" s="34" t="inlineStr">
        <is>
          <t>2026-04-02</t>
        </is>
      </c>
      <c r="J93" s="34" t="n"/>
      <c r="K93" s="34" t="inlineStr">
        <is>
          <t>NO</t>
        </is>
      </c>
      <c r="L93" s="36" t="inlineStr">
        <is>
          <t>New Lead</t>
        </is>
      </c>
      <c r="M93" s="34" t="n"/>
      <c r="N93" s="34" t="n"/>
      <c r="O93" s="34" t="n"/>
      <c r="P93" s="34" t="n">
        <v>2500</v>
      </c>
      <c r="Q93" s="34" t="n">
        <v>0</v>
      </c>
      <c r="R93" s="37">
        <f>IF(J93="","",TODAY()-DATE(LEFT(J93,4)*1,MID(J93,6,2)*1,RIGHT(J93,2)*1))</f>
        <v/>
      </c>
    </row>
    <row r="94" ht="18" customHeight="1" s="31">
      <c r="A94" s="38" t="n">
        <v>92</v>
      </c>
      <c r="B94" s="38" t="inlineStr">
        <is>
          <t>Rebecca</t>
        </is>
      </c>
      <c r="C94" s="38" t="inlineStr">
        <is>
          <t>Hoffman</t>
        </is>
      </c>
      <c r="D94" s="38" t="inlineStr">
        <is>
          <t>George Washington University</t>
        </is>
      </c>
      <c r="E94" s="38" t="inlineStr">
        <is>
          <t>Applied Social Psychology</t>
        </is>
      </c>
      <c r="F94" s="35" t="inlineStr">
        <is>
          <t>High</t>
        </is>
      </c>
      <c r="G94" s="35" t="inlineStr">
        <is>
          <t>High</t>
        </is>
      </c>
      <c r="H94" s="38" t="inlineStr">
        <is>
          <t>rhoffman@gwu.edu</t>
        </is>
      </c>
      <c r="I94" s="38" t="inlineStr">
        <is>
          <t>2026-04-02</t>
        </is>
      </c>
      <c r="J94" s="38" t="n"/>
      <c r="K94" s="38" t="inlineStr">
        <is>
          <t>NO</t>
        </is>
      </c>
      <c r="L94" s="39" t="inlineStr">
        <is>
          <t>New Lead</t>
        </is>
      </c>
      <c r="M94" s="38" t="n"/>
      <c r="N94" s="38" t="n"/>
      <c r="O94" s="38" t="n"/>
      <c r="P94" s="38" t="n">
        <v>2500</v>
      </c>
      <c r="Q94" s="38" t="n">
        <v>0</v>
      </c>
      <c r="R94" s="40">
        <f>IF(J94="","",TODAY()-DATE(LEFT(J94,4)*1,MID(J94,6,2)*1,RIGHT(J94,2)*1))</f>
        <v/>
      </c>
    </row>
    <row r="95" ht="18" customHeight="1" s="31">
      <c r="A95" s="34" t="n">
        <v>93</v>
      </c>
      <c r="B95" s="34" t="inlineStr">
        <is>
          <t>Mary</t>
        </is>
      </c>
      <c r="C95" s="34" t="inlineStr">
        <is>
          <t>Jobe</t>
        </is>
      </c>
      <c r="D95" s="34" t="inlineStr">
        <is>
          <t>George Washington University</t>
        </is>
      </c>
      <c r="E95" s="34" t="inlineStr">
        <is>
          <t>Applied Social Psychology</t>
        </is>
      </c>
      <c r="F95" s="35" t="inlineStr">
        <is>
          <t>High</t>
        </is>
      </c>
      <c r="G95" s="35" t="inlineStr">
        <is>
          <t>High</t>
        </is>
      </c>
      <c r="H95" s="34" t="inlineStr">
        <is>
          <t>maryjobe@gwu.edu</t>
        </is>
      </c>
      <c r="I95" s="34" t="inlineStr">
        <is>
          <t>2026-04-02</t>
        </is>
      </c>
      <c r="J95" s="34" t="n"/>
      <c r="K95" s="34" t="inlineStr">
        <is>
          <t>NO</t>
        </is>
      </c>
      <c r="L95" s="36" t="inlineStr">
        <is>
          <t>New Lead</t>
        </is>
      </c>
      <c r="M95" s="34" t="n"/>
      <c r="N95" s="34" t="n"/>
      <c r="O95" s="34" t="n"/>
      <c r="P95" s="34" t="n">
        <v>2500</v>
      </c>
      <c r="Q95" s="34" t="n">
        <v>0</v>
      </c>
      <c r="R95" s="37">
        <f>IF(J95="","",TODAY()-DATE(LEFT(J95,4)*1,MID(J95,6,2)*1,RIGHT(J95,2)*1))</f>
        <v/>
      </c>
    </row>
    <row r="96" ht="18" customHeight="1" s="31">
      <c r="A96" s="38" t="n">
        <v>94</v>
      </c>
      <c r="B96" s="38" t="inlineStr">
        <is>
          <t>Jonah</t>
        </is>
      </c>
      <c r="C96" s="38" t="inlineStr">
        <is>
          <t>Kracke-Bock</t>
        </is>
      </c>
      <c r="D96" s="38" t="inlineStr">
        <is>
          <t>George Washington University</t>
        </is>
      </c>
      <c r="E96" s="38" t="inlineStr">
        <is>
          <t>Applied Social Psychology</t>
        </is>
      </c>
      <c r="F96" s="35" t="inlineStr">
        <is>
          <t>High</t>
        </is>
      </c>
      <c r="G96" s="35" t="inlineStr">
        <is>
          <t>High</t>
        </is>
      </c>
      <c r="H96" s="38" t="inlineStr">
        <is>
          <t>jkrackebock1@gwmail.gwu.edu</t>
        </is>
      </c>
      <c r="I96" s="38" t="inlineStr">
        <is>
          <t>2026-04-02</t>
        </is>
      </c>
      <c r="J96" s="38" t="n"/>
      <c r="K96" s="38" t="inlineStr">
        <is>
          <t>NO</t>
        </is>
      </c>
      <c r="L96" s="39" t="inlineStr">
        <is>
          <t>New Lead</t>
        </is>
      </c>
      <c r="M96" s="38" t="n"/>
      <c r="N96" s="38" t="n"/>
      <c r="O96" s="38" t="n"/>
      <c r="P96" s="38" t="n">
        <v>2500</v>
      </c>
      <c r="Q96" s="38" t="n">
        <v>0</v>
      </c>
      <c r="R96" s="40">
        <f>IF(J96="","",TODAY()-DATE(LEFT(J96,4)*1,MID(J96,6,2)*1,RIGHT(J96,2)*1))</f>
        <v/>
      </c>
    </row>
    <row r="97" ht="18" customHeight="1" s="31">
      <c r="A97" s="34" t="n">
        <v>95</v>
      </c>
      <c r="B97" s="34" t="inlineStr">
        <is>
          <t>Arianne</t>
        </is>
      </c>
      <c r="C97" s="34" t="inlineStr">
        <is>
          <t>Malekzadeh</t>
        </is>
      </c>
      <c r="D97" s="34" t="inlineStr">
        <is>
          <t>George Washington University</t>
        </is>
      </c>
      <c r="E97" s="34" t="inlineStr">
        <is>
          <t>Applied Social Psychology</t>
        </is>
      </c>
      <c r="F97" s="35" t="inlineStr">
        <is>
          <t>High</t>
        </is>
      </c>
      <c r="G97" s="35" t="inlineStr">
        <is>
          <t>High</t>
        </is>
      </c>
      <c r="H97" s="34" t="inlineStr">
        <is>
          <t>arianne.malekzadeh@gmail.com</t>
        </is>
      </c>
      <c r="I97" s="34" t="inlineStr">
        <is>
          <t>2026-04-02</t>
        </is>
      </c>
      <c r="J97" s="34" t="n"/>
      <c r="K97" s="34" t="inlineStr">
        <is>
          <t>NO</t>
        </is>
      </c>
      <c r="L97" s="36" t="inlineStr">
        <is>
          <t>New Lead</t>
        </is>
      </c>
      <c r="M97" s="34" t="n"/>
      <c r="N97" s="34" t="n"/>
      <c r="O97" s="34" t="n"/>
      <c r="P97" s="34" t="n">
        <v>2500</v>
      </c>
      <c r="Q97" s="34" t="n">
        <v>0</v>
      </c>
      <c r="R97" s="37">
        <f>IF(J97="","",TODAY()-DATE(LEFT(J97,4)*1,MID(J97,6,2)*1,RIGHT(J97,2)*1))</f>
        <v/>
      </c>
    </row>
    <row r="98" ht="18" customHeight="1" s="31">
      <c r="A98" s="38" t="n">
        <v>96</v>
      </c>
      <c r="B98" s="38" t="inlineStr">
        <is>
          <t>Mary</t>
        </is>
      </c>
      <c r="C98" s="38" t="inlineStr">
        <is>
          <t>Mbaba</t>
        </is>
      </c>
      <c r="D98" s="38" t="inlineStr">
        <is>
          <t>George Washington University</t>
        </is>
      </c>
      <c r="E98" s="38" t="inlineStr">
        <is>
          <t>Applied Social Psychology</t>
        </is>
      </c>
      <c r="F98" s="35" t="inlineStr">
        <is>
          <t>High</t>
        </is>
      </c>
      <c r="G98" s="35" t="inlineStr">
        <is>
          <t>High</t>
        </is>
      </c>
      <c r="H98" s="38" t="inlineStr">
        <is>
          <t>mmbaba@gwu.edu</t>
        </is>
      </c>
      <c r="I98" s="38" t="inlineStr">
        <is>
          <t>2026-04-02</t>
        </is>
      </c>
      <c r="J98" s="38" t="n"/>
      <c r="K98" s="38" t="inlineStr">
        <is>
          <t>NO</t>
        </is>
      </c>
      <c r="L98" s="39" t="inlineStr">
        <is>
          <t>New Lead</t>
        </is>
      </c>
      <c r="M98" s="38" t="n"/>
      <c r="N98" s="38" t="n"/>
      <c r="O98" s="38" t="n"/>
      <c r="P98" s="38" t="n">
        <v>2500</v>
      </c>
      <c r="Q98" s="38" t="n">
        <v>0</v>
      </c>
      <c r="R98" s="40">
        <f>IF(J98="","",TODAY()-DATE(LEFT(J98,4)*1,MID(J98,6,2)*1,RIGHT(J98,2)*1))</f>
        <v/>
      </c>
    </row>
    <row r="99" ht="18" customHeight="1" s="31">
      <c r="A99" s="34" t="n">
        <v>97</v>
      </c>
      <c r="B99" s="34" t="inlineStr">
        <is>
          <t>Stacy</t>
        </is>
      </c>
      <c r="C99" s="34" t="inlineStr">
        <is>
          <t>Post</t>
        </is>
      </c>
      <c r="D99" s="34" t="inlineStr">
        <is>
          <t>George Washington University</t>
        </is>
      </c>
      <c r="E99" s="34" t="inlineStr">
        <is>
          <t>Applied Social Psychology</t>
        </is>
      </c>
      <c r="F99" s="35" t="inlineStr">
        <is>
          <t>High</t>
        </is>
      </c>
      <c r="G99" s="35" t="inlineStr">
        <is>
          <t>High</t>
        </is>
      </c>
      <c r="H99" s="34" t="inlineStr">
        <is>
          <t>spost5@gwu.edu</t>
        </is>
      </c>
      <c r="I99" s="34" t="inlineStr">
        <is>
          <t>2026-04-02</t>
        </is>
      </c>
      <c r="J99" s="34" t="n"/>
      <c r="K99" s="34" t="inlineStr">
        <is>
          <t>NO</t>
        </is>
      </c>
      <c r="L99" s="36" t="inlineStr">
        <is>
          <t>New Lead</t>
        </is>
      </c>
      <c r="M99" s="34" t="n"/>
      <c r="N99" s="34" t="n"/>
      <c r="O99" s="34" t="n"/>
      <c r="P99" s="34" t="n">
        <v>2500</v>
      </c>
      <c r="Q99" s="34" t="n">
        <v>0</v>
      </c>
      <c r="R99" s="37">
        <f>IF(J99="","",TODAY()-DATE(LEFT(J99,4)*1,MID(J99,6,2)*1,RIGHT(J99,2)*1))</f>
        <v/>
      </c>
    </row>
    <row r="100" ht="18" customHeight="1" s="31">
      <c r="A100" s="38" t="n">
        <v>98</v>
      </c>
      <c r="B100" s="38" t="inlineStr">
        <is>
          <t>Rebeka</t>
        </is>
      </c>
      <c r="C100" s="38" t="inlineStr">
        <is>
          <t>Almasi</t>
        </is>
      </c>
      <c r="D100" s="38" t="inlineStr">
        <is>
          <t>George Washington University</t>
        </is>
      </c>
      <c r="E100" s="38" t="inlineStr">
        <is>
          <t>Cognitive Neuroscience</t>
        </is>
      </c>
      <c r="F100" s="41" t="inlineStr">
        <is>
          <t>Medium</t>
        </is>
      </c>
      <c r="G100" s="41" t="inlineStr">
        <is>
          <t>Medium</t>
        </is>
      </c>
      <c r="H100" s="38" t="inlineStr">
        <is>
          <t>almasi@gwu.edu</t>
        </is>
      </c>
      <c r="I100" s="38" t="inlineStr">
        <is>
          <t>2026-04-02</t>
        </is>
      </c>
      <c r="J100" s="38" t="n"/>
      <c r="K100" s="38" t="inlineStr">
        <is>
          <t>NO</t>
        </is>
      </c>
      <c r="L100" s="39" t="inlineStr">
        <is>
          <t>New Lead</t>
        </is>
      </c>
      <c r="M100" s="38" t="n"/>
      <c r="N100" s="38" t="n"/>
      <c r="O100" s="38" t="n"/>
      <c r="P100" s="38" t="n">
        <v>2500</v>
      </c>
      <c r="Q100" s="38" t="n">
        <v>0</v>
      </c>
      <c r="R100" s="40">
        <f>IF(J100="","",TODAY()-DATE(LEFT(J100,4)*1,MID(J100,6,2)*1,RIGHT(J100,2)*1))</f>
        <v/>
      </c>
    </row>
    <row r="101" ht="18" customHeight="1" s="31">
      <c r="A101" s="34" t="n">
        <v>99</v>
      </c>
      <c r="B101" s="34" t="inlineStr">
        <is>
          <t>Shannon</t>
        </is>
      </c>
      <c r="C101" s="34" t="inlineStr">
        <is>
          <t>Cahalan</t>
        </is>
      </c>
      <c r="D101" s="34" t="inlineStr">
        <is>
          <t>George Washington University</t>
        </is>
      </c>
      <c r="E101" s="34" t="inlineStr">
        <is>
          <t>Cognitive Neuroscience</t>
        </is>
      </c>
      <c r="F101" s="41" t="inlineStr">
        <is>
          <t>Medium</t>
        </is>
      </c>
      <c r="G101" s="41" t="inlineStr">
        <is>
          <t>Medium</t>
        </is>
      </c>
      <c r="H101" s="34" t="inlineStr">
        <is>
          <t>scahalan@gwmail.gwu.edu</t>
        </is>
      </c>
      <c r="I101" s="34" t="inlineStr">
        <is>
          <t>2026-04-02</t>
        </is>
      </c>
      <c r="J101" s="34" t="n"/>
      <c r="K101" s="34" t="inlineStr">
        <is>
          <t>NO</t>
        </is>
      </c>
      <c r="L101" s="36" t="inlineStr">
        <is>
          <t>New Lead</t>
        </is>
      </c>
      <c r="M101" s="34" t="n"/>
      <c r="N101" s="34" t="n"/>
      <c r="O101" s="34" t="n"/>
      <c r="P101" s="34" t="n">
        <v>2500</v>
      </c>
      <c r="Q101" s="34" t="n">
        <v>0</v>
      </c>
      <c r="R101" s="37">
        <f>IF(J101="","",TODAY()-DATE(LEFT(J101,4)*1,MID(J101,6,2)*1,RIGHT(J101,2)*1))</f>
        <v/>
      </c>
    </row>
    <row r="102" ht="18" customHeight="1" s="31">
      <c r="A102" s="38" t="n">
        <v>100</v>
      </c>
      <c r="B102" s="38" t="inlineStr">
        <is>
          <t>Richard</t>
        </is>
      </c>
      <c r="C102" s="38" t="inlineStr">
        <is>
          <t>Dubbelde</t>
        </is>
      </c>
      <c r="D102" s="38" t="inlineStr">
        <is>
          <t>George Washington University</t>
        </is>
      </c>
      <c r="E102" s="38" t="inlineStr">
        <is>
          <t>Cognitive Neuroscience</t>
        </is>
      </c>
      <c r="F102" s="41" t="inlineStr">
        <is>
          <t>Medium</t>
        </is>
      </c>
      <c r="G102" s="41" t="inlineStr">
        <is>
          <t>Medium</t>
        </is>
      </c>
      <c r="H102" s="38" t="inlineStr">
        <is>
          <t>dubbelde@gwu.edu</t>
        </is>
      </c>
      <c r="I102" s="38" t="inlineStr">
        <is>
          <t>2026-04-02</t>
        </is>
      </c>
      <c r="J102" s="38" t="n"/>
      <c r="K102" s="38" t="inlineStr">
        <is>
          <t>NO</t>
        </is>
      </c>
      <c r="L102" s="39" t="inlineStr">
        <is>
          <t>New Lead</t>
        </is>
      </c>
      <c r="M102" s="38" t="n"/>
      <c r="N102" s="38" t="n"/>
      <c r="O102" s="38" t="n"/>
      <c r="P102" s="38" t="n">
        <v>2500</v>
      </c>
      <c r="Q102" s="38" t="n">
        <v>0</v>
      </c>
      <c r="R102" s="40">
        <f>IF(J102="","",TODAY()-DATE(LEFT(J102,4)*1,MID(J102,6,2)*1,RIGHT(J102,2)*1))</f>
        <v/>
      </c>
    </row>
    <row r="103" ht="18" customHeight="1" s="31">
      <c r="A103" s="34" t="n">
        <v>101</v>
      </c>
      <c r="B103" s="34" t="inlineStr">
        <is>
          <t>Rebekah</t>
        </is>
      </c>
      <c r="C103" s="34" t="inlineStr">
        <is>
          <t>Hardy</t>
        </is>
      </c>
      <c r="D103" s="34" t="inlineStr">
        <is>
          <t>George Washington University</t>
        </is>
      </c>
      <c r="E103" s="34" t="inlineStr">
        <is>
          <t>Cognitive Neuroscience</t>
        </is>
      </c>
      <c r="F103" s="41" t="inlineStr">
        <is>
          <t>Medium</t>
        </is>
      </c>
      <c r="G103" s="41" t="inlineStr">
        <is>
          <t>Medium</t>
        </is>
      </c>
      <c r="H103" s="34" t="inlineStr">
        <is>
          <t>rebekahhardy@gwmail.gwu.edu</t>
        </is>
      </c>
      <c r="I103" s="34" t="inlineStr">
        <is>
          <t>2026-04-02</t>
        </is>
      </c>
      <c r="J103" s="34" t="n"/>
      <c r="K103" s="34" t="inlineStr">
        <is>
          <t>NO</t>
        </is>
      </c>
      <c r="L103" s="36" t="inlineStr">
        <is>
          <t>New Lead</t>
        </is>
      </c>
      <c r="M103" s="34" t="n"/>
      <c r="N103" s="34" t="n"/>
      <c r="O103" s="34" t="n"/>
      <c r="P103" s="34" t="n">
        <v>2500</v>
      </c>
      <c r="Q103" s="34" t="n">
        <v>0</v>
      </c>
      <c r="R103" s="37">
        <f>IF(J103="","",TODAY()-DATE(LEFT(J103,4)*1,MID(J103,6,2)*1,RIGHT(J103,2)*1))</f>
        <v/>
      </c>
    </row>
    <row r="104" ht="18" customHeight="1" s="31">
      <c r="A104" s="38" t="n">
        <v>102</v>
      </c>
      <c r="B104" s="38" t="inlineStr">
        <is>
          <t>Lindsay</t>
        </is>
      </c>
      <c r="C104" s="38" t="inlineStr">
        <is>
          <t>Houck</t>
        </is>
      </c>
      <c r="D104" s="38" t="inlineStr">
        <is>
          <t>George Washington University</t>
        </is>
      </c>
      <c r="E104" s="38" t="inlineStr">
        <is>
          <t>Cognitive Neuroscience</t>
        </is>
      </c>
      <c r="F104" s="41" t="inlineStr">
        <is>
          <t>Medium</t>
        </is>
      </c>
      <c r="G104" s="41" t="inlineStr">
        <is>
          <t>Medium</t>
        </is>
      </c>
      <c r="H104" s="38" t="inlineStr">
        <is>
          <t>lindsayhouck@gwu.edu</t>
        </is>
      </c>
      <c r="I104" s="38" t="inlineStr">
        <is>
          <t>2026-04-02</t>
        </is>
      </c>
      <c r="J104" s="38" t="n"/>
      <c r="K104" s="38" t="inlineStr">
        <is>
          <t>NO</t>
        </is>
      </c>
      <c r="L104" s="39" t="inlineStr">
        <is>
          <t>New Lead</t>
        </is>
      </c>
      <c r="M104" s="38" t="n"/>
      <c r="N104" s="38" t="n"/>
      <c r="O104" s="38" t="n"/>
      <c r="P104" s="38" t="n">
        <v>2500</v>
      </c>
      <c r="Q104" s="38" t="n">
        <v>0</v>
      </c>
      <c r="R104" s="40">
        <f>IF(J104="","",TODAY()-DATE(LEFT(J104,4)*1,MID(J104,6,2)*1,RIGHT(J104,2)*1))</f>
        <v/>
      </c>
    </row>
    <row r="105" ht="18" customHeight="1" s="31">
      <c r="A105" s="34" t="n">
        <v>103</v>
      </c>
      <c r="B105" s="34" t="inlineStr">
        <is>
          <t>Simon</t>
        </is>
      </c>
      <c r="C105" s="34" t="inlineStr">
        <is>
          <t>Kaplan</t>
        </is>
      </c>
      <c r="D105" s="34" t="inlineStr">
        <is>
          <t>George Washington University</t>
        </is>
      </c>
      <c r="E105" s="34" t="inlineStr">
        <is>
          <t>Cognitive Neuroscience</t>
        </is>
      </c>
      <c r="F105" s="41" t="inlineStr">
        <is>
          <t>Medium</t>
        </is>
      </c>
      <c r="G105" s="41" t="inlineStr">
        <is>
          <t>Medium</t>
        </is>
      </c>
      <c r="H105" s="34" t="inlineStr">
        <is>
          <t>simonkaplan@gwu.edu</t>
        </is>
      </c>
      <c r="I105" s="34" t="inlineStr">
        <is>
          <t>2026-04-02</t>
        </is>
      </c>
      <c r="J105" s="34" t="n"/>
      <c r="K105" s="34" t="inlineStr">
        <is>
          <t>NO</t>
        </is>
      </c>
      <c r="L105" s="36" t="inlineStr">
        <is>
          <t>New Lead</t>
        </is>
      </c>
      <c r="M105" s="34" t="n"/>
      <c r="N105" s="34" t="n"/>
      <c r="O105" s="34" t="n"/>
      <c r="P105" s="34" t="n">
        <v>2500</v>
      </c>
      <c r="Q105" s="34" t="n">
        <v>0</v>
      </c>
      <c r="R105" s="37">
        <f>IF(J105="","",TODAY()-DATE(LEFT(J105,4)*1,MID(J105,6,2)*1,RIGHT(J105,2)*1))</f>
        <v/>
      </c>
    </row>
    <row r="106" ht="18" customHeight="1" s="31">
      <c r="A106" s="38" t="n">
        <v>104</v>
      </c>
      <c r="B106" s="38" t="inlineStr">
        <is>
          <t>Wenda</t>
        </is>
      </c>
      <c r="C106" s="38" t="inlineStr">
        <is>
          <t>Liu</t>
        </is>
      </c>
      <c r="D106" s="38" t="inlineStr">
        <is>
          <t>George Washington University</t>
        </is>
      </c>
      <c r="E106" s="38" t="inlineStr">
        <is>
          <t>Cognitive Neuroscience</t>
        </is>
      </c>
      <c r="F106" s="41" t="inlineStr">
        <is>
          <t>Medium</t>
        </is>
      </c>
      <c r="G106" s="41" t="inlineStr">
        <is>
          <t>Medium</t>
        </is>
      </c>
      <c r="H106" s="38" t="inlineStr">
        <is>
          <t>wenda_liu@gwu.edu</t>
        </is>
      </c>
      <c r="I106" s="38" t="inlineStr">
        <is>
          <t>2026-04-02</t>
        </is>
      </c>
      <c r="J106" s="38" t="n"/>
      <c r="K106" s="38" t="inlineStr">
        <is>
          <t>NO</t>
        </is>
      </c>
      <c r="L106" s="39" t="inlineStr">
        <is>
          <t>New Lead</t>
        </is>
      </c>
      <c r="M106" s="38" t="n"/>
      <c r="N106" s="38" t="n"/>
      <c r="O106" s="38" t="n"/>
      <c r="P106" s="38" t="n">
        <v>2500</v>
      </c>
      <c r="Q106" s="38" t="n">
        <v>0</v>
      </c>
      <c r="R106" s="40">
        <f>IF(J106="","",TODAY()-DATE(LEFT(J106,4)*1,MID(J106,6,2)*1,RIGHT(J106,2)*1))</f>
        <v/>
      </c>
    </row>
    <row r="107" ht="18" customHeight="1" s="31">
      <c r="A107" s="34" t="n">
        <v>105</v>
      </c>
      <c r="B107" s="34" t="inlineStr">
        <is>
          <t>Prachi</t>
        </is>
      </c>
      <c r="C107" s="34" t="inlineStr">
        <is>
          <t>Mahableshwarkar</t>
        </is>
      </c>
      <c r="D107" s="34" t="inlineStr">
        <is>
          <t>George Washington University</t>
        </is>
      </c>
      <c r="E107" s="34" t="inlineStr">
        <is>
          <t>Cognitive Neuroscience</t>
        </is>
      </c>
      <c r="F107" s="41" t="inlineStr">
        <is>
          <t>Medium</t>
        </is>
      </c>
      <c r="G107" s="41" t="inlineStr">
        <is>
          <t>Medium</t>
        </is>
      </c>
      <c r="H107" s="34" t="inlineStr">
        <is>
          <t>pmahable@gwu.edu</t>
        </is>
      </c>
      <c r="I107" s="34" t="inlineStr">
        <is>
          <t>2026-04-02</t>
        </is>
      </c>
      <c r="J107" s="34" t="n"/>
      <c r="K107" s="34" t="inlineStr">
        <is>
          <t>NO</t>
        </is>
      </c>
      <c r="L107" s="36" t="inlineStr">
        <is>
          <t>New Lead</t>
        </is>
      </c>
      <c r="M107" s="34" t="n"/>
      <c r="N107" s="34" t="n"/>
      <c r="O107" s="34" t="n"/>
      <c r="P107" s="34" t="n">
        <v>2500</v>
      </c>
      <c r="Q107" s="34" t="n">
        <v>0</v>
      </c>
      <c r="R107" s="37">
        <f>IF(J107="","",TODAY()-DATE(LEFT(J107,4)*1,MID(J107,6,2)*1,RIGHT(J107,2)*1))</f>
        <v/>
      </c>
    </row>
    <row r="108" ht="18" customHeight="1" s="31">
      <c r="A108" s="38" t="n">
        <v>106</v>
      </c>
      <c r="B108" s="38" t="inlineStr">
        <is>
          <t>Gordon</t>
        </is>
      </c>
      <c r="C108" s="38" t="inlineStr">
        <is>
          <t>McIntire</t>
        </is>
      </c>
      <c r="D108" s="38" t="inlineStr">
        <is>
          <t>George Washington University</t>
        </is>
      </c>
      <c r="E108" s="38" t="inlineStr">
        <is>
          <t>Cognitive Neuroscience</t>
        </is>
      </c>
      <c r="F108" s="41" t="inlineStr">
        <is>
          <t>Medium</t>
        </is>
      </c>
      <c r="G108" s="41" t="inlineStr">
        <is>
          <t>Medium</t>
        </is>
      </c>
      <c r="H108" s="38" t="inlineStr">
        <is>
          <t>gmcintire52@gwu.edu</t>
        </is>
      </c>
      <c r="I108" s="38" t="inlineStr">
        <is>
          <t>2026-04-02</t>
        </is>
      </c>
      <c r="J108" s="38" t="n"/>
      <c r="K108" s="38" t="inlineStr">
        <is>
          <t>NO</t>
        </is>
      </c>
      <c r="L108" s="39" t="inlineStr">
        <is>
          <t>New Lead</t>
        </is>
      </c>
      <c r="M108" s="38" t="n"/>
      <c r="N108" s="38" t="n"/>
      <c r="O108" s="38" t="n"/>
      <c r="P108" s="38" t="n">
        <v>2500</v>
      </c>
      <c r="Q108" s="38" t="n">
        <v>0</v>
      </c>
      <c r="R108" s="40">
        <f>IF(J108="","",TODAY()-DATE(LEFT(J108,4)*1,MID(J108,6,2)*1,RIGHT(J108,2)*1))</f>
        <v/>
      </c>
    </row>
    <row r="109" ht="18" customHeight="1" s="31">
      <c r="A109" s="34" t="n">
        <v>107</v>
      </c>
      <c r="B109" s="34" t="inlineStr">
        <is>
          <t>Samoni</t>
        </is>
      </c>
      <c r="C109" s="34" t="inlineStr">
        <is>
          <t>Nag</t>
        </is>
      </c>
      <c r="D109" s="34" t="inlineStr">
        <is>
          <t>George Washington University</t>
        </is>
      </c>
      <c r="E109" s="34" t="inlineStr">
        <is>
          <t>Cognitive Neuroscience</t>
        </is>
      </c>
      <c r="F109" s="41" t="inlineStr">
        <is>
          <t>Medium</t>
        </is>
      </c>
      <c r="G109" s="41" t="inlineStr">
        <is>
          <t>Medium</t>
        </is>
      </c>
      <c r="H109" s="34" t="inlineStr">
        <is>
          <t>samoninag@gwu.edu</t>
        </is>
      </c>
      <c r="I109" s="34" t="inlineStr">
        <is>
          <t>2026-04-02</t>
        </is>
      </c>
      <c r="J109" s="34" t="n"/>
      <c r="K109" s="34" t="inlineStr">
        <is>
          <t>NO</t>
        </is>
      </c>
      <c r="L109" s="36" t="inlineStr">
        <is>
          <t>New Lead</t>
        </is>
      </c>
      <c r="M109" s="34" t="n"/>
      <c r="N109" s="34" t="n"/>
      <c r="O109" s="34" t="n"/>
      <c r="P109" s="34" t="n">
        <v>2500</v>
      </c>
      <c r="Q109" s="34" t="n">
        <v>0</v>
      </c>
      <c r="R109" s="37">
        <f>IF(J109="","",TODAY()-DATE(LEFT(J109,4)*1,MID(J109,6,2)*1,RIGHT(J109,2)*1))</f>
        <v/>
      </c>
    </row>
    <row r="110" ht="18" customHeight="1" s="31">
      <c r="A110" s="38" t="n">
        <v>108</v>
      </c>
      <c r="B110" s="38" t="inlineStr">
        <is>
          <t>Ellie</t>
        </is>
      </c>
      <c r="C110" s="38" t="inlineStr">
        <is>
          <t>Robbins</t>
        </is>
      </c>
      <c r="D110" s="38" t="inlineStr">
        <is>
          <t>George Washington University</t>
        </is>
      </c>
      <c r="E110" s="38" t="inlineStr">
        <is>
          <t>Cognitive Neuroscience</t>
        </is>
      </c>
      <c r="F110" s="41" t="inlineStr">
        <is>
          <t>Medium</t>
        </is>
      </c>
      <c r="G110" s="41" t="inlineStr">
        <is>
          <t>Medium</t>
        </is>
      </c>
      <c r="H110" s="38" t="inlineStr">
        <is>
          <t>erobbins105@gwu.edu</t>
        </is>
      </c>
      <c r="I110" s="38" t="inlineStr">
        <is>
          <t>2026-04-02</t>
        </is>
      </c>
      <c r="J110" s="38" t="n"/>
      <c r="K110" s="38" t="inlineStr">
        <is>
          <t>NO</t>
        </is>
      </c>
      <c r="L110" s="39" t="inlineStr">
        <is>
          <t>New Lead</t>
        </is>
      </c>
      <c r="M110" s="38" t="n"/>
      <c r="N110" s="38" t="n"/>
      <c r="O110" s="38" t="n"/>
      <c r="P110" s="38" t="n">
        <v>2500</v>
      </c>
      <c r="Q110" s="38" t="n">
        <v>0</v>
      </c>
      <c r="R110" s="40">
        <f>IF(J110="","",TODAY()-DATE(LEFT(J110,4)*1,MID(J110,6,2)*1,RIGHT(J110,2)*1))</f>
        <v/>
      </c>
    </row>
    <row r="111" ht="18" customHeight="1" s="31">
      <c r="A111" s="34" t="n">
        <v>109</v>
      </c>
      <c r="B111" s="34" t="inlineStr">
        <is>
          <t>Emma</t>
        </is>
      </c>
      <c r="C111" s="34" t="inlineStr">
        <is>
          <t>Siritzky</t>
        </is>
      </c>
      <c r="D111" s="34" t="inlineStr">
        <is>
          <t>George Washington University</t>
        </is>
      </c>
      <c r="E111" s="34" t="inlineStr">
        <is>
          <t>Cognitive Neuroscience</t>
        </is>
      </c>
      <c r="F111" s="41" t="inlineStr">
        <is>
          <t>Medium</t>
        </is>
      </c>
      <c r="G111" s="41" t="inlineStr">
        <is>
          <t>Medium</t>
        </is>
      </c>
      <c r="H111" s="34" t="inlineStr">
        <is>
          <t>esiritzky@gwmail.gwu.edu</t>
        </is>
      </c>
      <c r="I111" s="34" t="inlineStr">
        <is>
          <t>2026-04-02</t>
        </is>
      </c>
      <c r="J111" s="34" t="n"/>
      <c r="K111" s="34" t="inlineStr">
        <is>
          <t>NO</t>
        </is>
      </c>
      <c r="L111" s="36" t="inlineStr">
        <is>
          <t>New Lead</t>
        </is>
      </c>
      <c r="M111" s="34" t="n"/>
      <c r="N111" s="34" t="n"/>
      <c r="O111" s="34" t="n"/>
      <c r="P111" s="34" t="n">
        <v>2500</v>
      </c>
      <c r="Q111" s="34" t="n">
        <v>0</v>
      </c>
      <c r="R111" s="37">
        <f>IF(J111="","",TODAY()-DATE(LEFT(J111,4)*1,MID(J111,6,2)*1,RIGHT(J111,2)*1))</f>
        <v/>
      </c>
    </row>
    <row r="112" ht="18" customHeight="1" s="31">
      <c r="A112" s="38" t="n">
        <v>110</v>
      </c>
      <c r="B112" s="38" t="inlineStr">
        <is>
          <t>Kira</t>
        </is>
      </c>
      <c r="C112" s="38" t="inlineStr">
        <is>
          <t>Wegner-Clemens</t>
        </is>
      </c>
      <c r="D112" s="38" t="inlineStr">
        <is>
          <t>George Washington University</t>
        </is>
      </c>
      <c r="E112" s="38" t="inlineStr">
        <is>
          <t>Cognitive Neuroscience</t>
        </is>
      </c>
      <c r="F112" s="41" t="inlineStr">
        <is>
          <t>Medium</t>
        </is>
      </c>
      <c r="G112" s="41" t="inlineStr">
        <is>
          <t>Medium</t>
        </is>
      </c>
      <c r="H112" s="38" t="inlineStr">
        <is>
          <t>kira@gwmail.gwu.edu</t>
        </is>
      </c>
      <c r="I112" s="38" t="inlineStr">
        <is>
          <t>2026-04-02</t>
        </is>
      </c>
      <c r="J112" s="38" t="n"/>
      <c r="K112" s="38" t="inlineStr">
        <is>
          <t>NO</t>
        </is>
      </c>
      <c r="L112" s="39" t="inlineStr">
        <is>
          <t>New Lead</t>
        </is>
      </c>
      <c r="M112" s="38" t="n"/>
      <c r="N112" s="38" t="n"/>
      <c r="O112" s="38" t="n"/>
      <c r="P112" s="38" t="n">
        <v>2500</v>
      </c>
      <c r="Q112" s="38" t="n">
        <v>0</v>
      </c>
      <c r="R112" s="40">
        <f>IF(J112="","",TODAY()-DATE(LEFT(J112,4)*1,MID(J112,6,2)*1,RIGHT(J112,2)*1))</f>
        <v/>
      </c>
    </row>
    <row r="113" ht="18" customHeight="1" s="31">
      <c r="A113" s="34" t="n">
        <v>111</v>
      </c>
      <c r="B113" s="34" t="inlineStr">
        <is>
          <t>Patrick</t>
        </is>
      </c>
      <c r="C113" s="34" t="inlineStr">
        <is>
          <t>Cox</t>
        </is>
      </c>
      <c r="D113" s="34" t="inlineStr">
        <is>
          <t>George Washington University</t>
        </is>
      </c>
      <c r="E113" s="34" t="inlineStr">
        <is>
          <t>Postdoctoral Fellow</t>
        </is>
      </c>
      <c r="F113" s="41" t="inlineStr">
        <is>
          <t>Medium</t>
        </is>
      </c>
      <c r="G113" s="41" t="inlineStr">
        <is>
          <t>Medium</t>
        </is>
      </c>
      <c r="H113" s="34" t="inlineStr">
        <is>
          <t>patrickcox@email.gwu.edu</t>
        </is>
      </c>
      <c r="I113" s="34" t="inlineStr">
        <is>
          <t>2026-04-02</t>
        </is>
      </c>
      <c r="J113" s="34" t="n"/>
      <c r="K113" s="34" t="inlineStr">
        <is>
          <t>NO</t>
        </is>
      </c>
      <c r="L113" s="36" t="inlineStr">
        <is>
          <t>New Lead</t>
        </is>
      </c>
      <c r="M113" s="34" t="n"/>
      <c r="N113" s="34" t="n"/>
      <c r="O113" s="34" t="n"/>
      <c r="P113" s="34" t="n">
        <v>2500</v>
      </c>
      <c r="Q113" s="34" t="n">
        <v>0</v>
      </c>
      <c r="R113" s="37">
        <f>IF(J113="","",TODAY()-DATE(LEFT(J113,4)*1,MID(J113,6,2)*1,RIGHT(J113,2)*1))</f>
        <v/>
      </c>
    </row>
    <row r="114" ht="18" customHeight="1" s="31">
      <c r="A114" s="38" t="n">
        <v>112</v>
      </c>
      <c r="B114" s="38" t="inlineStr">
        <is>
          <t>Jonathan</t>
        </is>
      </c>
      <c r="C114" s="38" t="inlineStr">
        <is>
          <t>Doyon</t>
        </is>
      </c>
      <c r="D114" s="38" t="inlineStr">
        <is>
          <t>George Washington University</t>
        </is>
      </c>
      <c r="E114" s="38" t="inlineStr">
        <is>
          <t>Postdoctoral Fellow</t>
        </is>
      </c>
      <c r="F114" s="41" t="inlineStr">
        <is>
          <t>Medium</t>
        </is>
      </c>
      <c r="G114" s="41" t="inlineStr">
        <is>
          <t>Medium</t>
        </is>
      </c>
      <c r="H114" s="38" t="inlineStr">
        <is>
          <t>jdoyon@gwu.edu</t>
        </is>
      </c>
      <c r="I114" s="38" t="inlineStr">
        <is>
          <t>2026-04-02</t>
        </is>
      </c>
      <c r="J114" s="38" t="n"/>
      <c r="K114" s="38" t="inlineStr">
        <is>
          <t>NO</t>
        </is>
      </c>
      <c r="L114" s="39" t="inlineStr">
        <is>
          <t>New Lead</t>
        </is>
      </c>
      <c r="M114" s="38" t="n"/>
      <c r="N114" s="38" t="n"/>
      <c r="O114" s="38" t="n"/>
      <c r="P114" s="38" t="n">
        <v>2500</v>
      </c>
      <c r="Q114" s="38" t="n">
        <v>0</v>
      </c>
      <c r="R114" s="40">
        <f>IF(J114="","",TODAY()-DATE(LEFT(J114,4)*1,MID(J114,6,2)*1,RIGHT(J114,2)*1))</f>
        <v/>
      </c>
    </row>
    <row r="115" ht="18" customHeight="1" s="31">
      <c r="A115" s="34" t="n">
        <v>113</v>
      </c>
      <c r="B115" s="34" t="inlineStr">
        <is>
          <t>Selene</t>
        </is>
      </c>
      <c r="C115" s="34" t="inlineStr">
        <is>
          <t>Schintu</t>
        </is>
      </c>
      <c r="D115" s="34" t="inlineStr">
        <is>
          <t>George Washington University</t>
        </is>
      </c>
      <c r="E115" s="34" t="inlineStr">
        <is>
          <t>Postdoctoral Fellow</t>
        </is>
      </c>
      <c r="F115" s="41" t="inlineStr">
        <is>
          <t>Medium</t>
        </is>
      </c>
      <c r="G115" s="41" t="inlineStr">
        <is>
          <t>Medium</t>
        </is>
      </c>
      <c r="H115" s="34" t="inlineStr">
        <is>
          <t>schintu@gwu.edu</t>
        </is>
      </c>
      <c r="I115" s="34" t="inlineStr">
        <is>
          <t>2026-04-02</t>
        </is>
      </c>
      <c r="J115" s="34" t="n"/>
      <c r="K115" s="34" t="inlineStr">
        <is>
          <t>NO</t>
        </is>
      </c>
      <c r="L115" s="36" t="inlineStr">
        <is>
          <t>New Lead</t>
        </is>
      </c>
      <c r="M115" s="34" t="n"/>
      <c r="N115" s="34" t="n"/>
      <c r="O115" s="34" t="n"/>
      <c r="P115" s="34" t="n">
        <v>2500</v>
      </c>
      <c r="Q115" s="34" t="n">
        <v>0</v>
      </c>
      <c r="R115" s="37">
        <f>IF(J115="","",TODAY()-DATE(LEFT(J115,4)*1,MID(J115,6,2)*1,RIGHT(J115,2)*1))</f>
        <v/>
      </c>
    </row>
    <row r="116" ht="18" customHeight="1" s="31">
      <c r="A116" s="38" t="n">
        <v>114</v>
      </c>
      <c r="B116" s="38" t="inlineStr">
        <is>
          <t>Xiaoli</t>
        </is>
      </c>
      <c r="C116" s="38" t="inlineStr">
        <is>
          <t>Zhang</t>
        </is>
      </c>
      <c r="D116" s="38" t="inlineStr">
        <is>
          <t>George Washington University</t>
        </is>
      </c>
      <c r="E116" s="38" t="inlineStr">
        <is>
          <t>Postdoctoral Fellow</t>
        </is>
      </c>
      <c r="F116" s="41" t="inlineStr">
        <is>
          <t>Medium</t>
        </is>
      </c>
      <c r="G116" s="41" t="inlineStr">
        <is>
          <t>Medium</t>
        </is>
      </c>
      <c r="H116" s="38" t="inlineStr">
        <is>
          <t>xiaolizhang@gwu.edu</t>
        </is>
      </c>
      <c r="I116" s="38" t="inlineStr">
        <is>
          <t>2026-04-02</t>
        </is>
      </c>
      <c r="J116" s="38" t="n"/>
      <c r="K116" s="38" t="inlineStr">
        <is>
          <t>NO</t>
        </is>
      </c>
      <c r="L116" s="39" t="inlineStr">
        <is>
          <t>New Lead</t>
        </is>
      </c>
      <c r="M116" s="38" t="n"/>
      <c r="N116" s="38" t="n"/>
      <c r="O116" s="38" t="n"/>
      <c r="P116" s="38" t="n">
        <v>2500</v>
      </c>
      <c r="Q116" s="38" t="n">
        <v>0</v>
      </c>
      <c r="R116" s="40">
        <f>IF(J116="","",TODAY()-DATE(LEFT(J116,4)*1,MID(J116,6,2)*1,RIGHT(J116,2)*1))</f>
        <v/>
      </c>
    </row>
    <row r="117" ht="18" customHeight="1" s="31">
      <c r="A117" s="34" t="n">
        <v>115</v>
      </c>
      <c r="B117" s="34" t="inlineStr">
        <is>
          <t>Renata</t>
        </is>
      </c>
      <c r="C117" s="34" t="inlineStr">
        <is>
          <t>Biazzi</t>
        </is>
      </c>
      <c r="D117" s="34" t="inlineStr">
        <is>
          <t>Princeton University</t>
        </is>
      </c>
      <c r="E117" s="34" t="inlineStr">
        <is>
          <t>Psychology</t>
        </is>
      </c>
      <c r="F117" s="35" t="inlineStr">
        <is>
          <t>High</t>
        </is>
      </c>
      <c r="G117" s="35" t="inlineStr">
        <is>
          <t>High</t>
        </is>
      </c>
      <c r="H117" s="34" t="inlineStr">
        <is>
          <t>rb4174@princeton.edu</t>
        </is>
      </c>
      <c r="I117" s="34" t="inlineStr">
        <is>
          <t>2026-04-02</t>
        </is>
      </c>
      <c r="J117" s="34" t="n"/>
      <c r="K117" s="34" t="inlineStr">
        <is>
          <t>NO</t>
        </is>
      </c>
      <c r="L117" s="36" t="inlineStr">
        <is>
          <t>New Lead</t>
        </is>
      </c>
      <c r="M117" s="34" t="n"/>
      <c r="N117" s="34" t="n"/>
      <c r="O117" s="34" t="n"/>
      <c r="P117" s="34" t="n">
        <v>2500</v>
      </c>
      <c r="Q117" s="34" t="n">
        <v>0</v>
      </c>
      <c r="R117" s="37">
        <f>IF(J117="","",TODAY()-DATE(LEFT(J117,4)*1,MID(J117,6,2)*1,RIGHT(J117,2)*1))</f>
        <v/>
      </c>
    </row>
    <row r="118" ht="18" customHeight="1" s="31">
      <c r="A118" s="38" t="n">
        <v>116</v>
      </c>
      <c r="B118" s="38" t="inlineStr">
        <is>
          <t>Branson</t>
        </is>
      </c>
      <c r="C118" s="38" t="inlineStr">
        <is>
          <t>Byers</t>
        </is>
      </c>
      <c r="D118" s="38" t="inlineStr">
        <is>
          <t>Princeton University</t>
        </is>
      </c>
      <c r="E118" s="38" t="inlineStr">
        <is>
          <t>Psychology</t>
        </is>
      </c>
      <c r="F118" s="35" t="inlineStr">
        <is>
          <t>High</t>
        </is>
      </c>
      <c r="G118" s="35" t="inlineStr">
        <is>
          <t>High</t>
        </is>
      </c>
      <c r="H118" s="38" t="inlineStr">
        <is>
          <t>jbbyers@princeton.edu</t>
        </is>
      </c>
      <c r="I118" s="38" t="inlineStr">
        <is>
          <t>2026-04-02</t>
        </is>
      </c>
      <c r="J118" s="38" t="n"/>
      <c r="K118" s="38" t="inlineStr">
        <is>
          <t>NO</t>
        </is>
      </c>
      <c r="L118" s="39" t="inlineStr">
        <is>
          <t>New Lead</t>
        </is>
      </c>
      <c r="M118" s="38" t="n"/>
      <c r="N118" s="38" t="n"/>
      <c r="O118" s="38" t="n"/>
      <c r="P118" s="38" t="n">
        <v>2500</v>
      </c>
      <c r="Q118" s="38" t="n">
        <v>0</v>
      </c>
      <c r="R118" s="40">
        <f>IF(J118="","",TODAY()-DATE(LEFT(J118,4)*1,MID(J118,6,2)*1,RIGHT(J118,2)*1))</f>
        <v/>
      </c>
    </row>
    <row r="119" ht="18" customHeight="1" s="31">
      <c r="A119" s="34" t="n">
        <v>117</v>
      </c>
      <c r="B119" s="34" t="inlineStr">
        <is>
          <t>Kennedy</t>
        </is>
      </c>
      <c r="C119" s="34" t="inlineStr">
        <is>
          <t>Casey</t>
        </is>
      </c>
      <c r="D119" s="34" t="inlineStr">
        <is>
          <t>Princeton University</t>
        </is>
      </c>
      <c r="E119" s="34" t="inlineStr">
        <is>
          <t>Psychology</t>
        </is>
      </c>
      <c r="F119" s="35" t="inlineStr">
        <is>
          <t>High</t>
        </is>
      </c>
      <c r="G119" s="35" t="inlineStr">
        <is>
          <t>High</t>
        </is>
      </c>
      <c r="H119" s="34" t="inlineStr">
        <is>
          <t>kcasey@princeton.edu</t>
        </is>
      </c>
      <c r="I119" s="34" t="inlineStr">
        <is>
          <t>2026-04-02</t>
        </is>
      </c>
      <c r="J119" s="34" t="n"/>
      <c r="K119" s="34" t="inlineStr">
        <is>
          <t>NO</t>
        </is>
      </c>
      <c r="L119" s="36" t="inlineStr">
        <is>
          <t>New Lead</t>
        </is>
      </c>
      <c r="M119" s="34" t="n"/>
      <c r="N119" s="34" t="n"/>
      <c r="O119" s="34" t="n"/>
      <c r="P119" s="34" t="n">
        <v>2500</v>
      </c>
      <c r="Q119" s="34" t="n">
        <v>0</v>
      </c>
      <c r="R119" s="37">
        <f>IF(J119="","",TODAY()-DATE(LEFT(J119,4)*1,MID(J119,6,2)*1,RIGHT(J119,2)*1))</f>
        <v/>
      </c>
    </row>
    <row r="120" ht="18" customHeight="1" s="31">
      <c r="A120" s="38" t="n">
        <v>118</v>
      </c>
      <c r="B120" s="38" t="inlineStr">
        <is>
          <t>Yifei</t>
        </is>
      </c>
      <c r="C120" s="38" t="inlineStr">
        <is>
          <t>Chen</t>
        </is>
      </c>
      <c r="D120" s="38" t="inlineStr">
        <is>
          <t>Princeton University</t>
        </is>
      </c>
      <c r="E120" s="38" t="inlineStr">
        <is>
          <t>Psychology</t>
        </is>
      </c>
      <c r="F120" s="35" t="inlineStr">
        <is>
          <t>High</t>
        </is>
      </c>
      <c r="G120" s="35" t="inlineStr">
        <is>
          <t>High</t>
        </is>
      </c>
      <c r="H120" s="38" t="inlineStr">
        <is>
          <t>yc1676@princeton.edu</t>
        </is>
      </c>
      <c r="I120" s="38" t="inlineStr">
        <is>
          <t>2026-04-02</t>
        </is>
      </c>
      <c r="J120" s="38" t="n"/>
      <c r="K120" s="38" t="inlineStr">
        <is>
          <t>NO</t>
        </is>
      </c>
      <c r="L120" s="39" t="inlineStr">
        <is>
          <t>New Lead</t>
        </is>
      </c>
      <c r="M120" s="38" t="n"/>
      <c r="N120" s="38" t="n"/>
      <c r="O120" s="38" t="n"/>
      <c r="P120" s="38" t="n">
        <v>2500</v>
      </c>
      <c r="Q120" s="38" t="n">
        <v>0</v>
      </c>
      <c r="R120" s="40">
        <f>IF(J120="","",TODAY()-DATE(LEFT(J120,4)*1,MID(J120,6,2)*1,RIGHT(J120,2)*1))</f>
        <v/>
      </c>
    </row>
    <row r="121" ht="18" customHeight="1" s="31">
      <c r="A121" s="34" t="n">
        <v>119</v>
      </c>
      <c r="B121" s="34" t="inlineStr">
        <is>
          <t>Phillip</t>
        </is>
      </c>
      <c r="C121" s="34" t="inlineStr">
        <is>
          <t>Cheng</t>
        </is>
      </c>
      <c r="D121" s="34" t="inlineStr">
        <is>
          <t>Princeton University</t>
        </is>
      </c>
      <c r="E121" s="34" t="inlineStr">
        <is>
          <t>Psychology</t>
        </is>
      </c>
      <c r="F121" s="35" t="inlineStr">
        <is>
          <t>High</t>
        </is>
      </c>
      <c r="G121" s="35" t="inlineStr">
        <is>
          <t>High</t>
        </is>
      </c>
      <c r="H121" s="34" t="inlineStr">
        <is>
          <t>pxcheng@princeton.edu</t>
        </is>
      </c>
      <c r="I121" s="34" t="inlineStr">
        <is>
          <t>2026-04-02</t>
        </is>
      </c>
      <c r="J121" s="34" t="n"/>
      <c r="K121" s="34" t="inlineStr">
        <is>
          <t>NO</t>
        </is>
      </c>
      <c r="L121" s="36" t="inlineStr">
        <is>
          <t>New Lead</t>
        </is>
      </c>
      <c r="M121" s="34" t="n"/>
      <c r="N121" s="34" t="n"/>
      <c r="O121" s="34" t="n"/>
      <c r="P121" s="34" t="n">
        <v>2500</v>
      </c>
      <c r="Q121" s="34" t="n">
        <v>0</v>
      </c>
      <c r="R121" s="37">
        <f>IF(J121="","",TODAY()-DATE(LEFT(J121,4)*1,MID(J121,6,2)*1,RIGHT(J121,2)*1))</f>
        <v/>
      </c>
    </row>
    <row r="122" ht="18" customHeight="1" s="31">
      <c r="A122" s="38" t="n">
        <v>120</v>
      </c>
      <c r="B122" s="38" t="inlineStr">
        <is>
          <t>Jamie</t>
        </is>
      </c>
      <c r="C122" s="38" t="inlineStr">
        <is>
          <t>Chiu</t>
        </is>
      </c>
      <c r="D122" s="38" t="inlineStr">
        <is>
          <t>Princeton University</t>
        </is>
      </c>
      <c r="E122" s="38" t="inlineStr">
        <is>
          <t>Psychology</t>
        </is>
      </c>
      <c r="F122" s="35" t="inlineStr">
        <is>
          <t>High</t>
        </is>
      </c>
      <c r="G122" s="35" t="inlineStr">
        <is>
          <t>High</t>
        </is>
      </c>
      <c r="H122" s="38" t="inlineStr">
        <is>
          <t>jamiechiu@princeton.edu</t>
        </is>
      </c>
      <c r="I122" s="38" t="inlineStr">
        <is>
          <t>2026-04-02</t>
        </is>
      </c>
      <c r="J122" s="38" t="n"/>
      <c r="K122" s="38" t="inlineStr">
        <is>
          <t>NO</t>
        </is>
      </c>
      <c r="L122" s="39" t="inlineStr">
        <is>
          <t>New Lead</t>
        </is>
      </c>
      <c r="M122" s="38" t="n"/>
      <c r="N122" s="38" t="n"/>
      <c r="O122" s="38" t="n"/>
      <c r="P122" s="38" t="n">
        <v>2500</v>
      </c>
      <c r="Q122" s="38" t="n">
        <v>0</v>
      </c>
      <c r="R122" s="40">
        <f>IF(J122="","",TODAY()-DATE(LEFT(J122,4)*1,MID(J122,6,2)*1,RIGHT(J122,2)*1))</f>
        <v/>
      </c>
    </row>
    <row r="123" ht="18" customHeight="1" s="31">
      <c r="A123" s="34" t="n">
        <v>121</v>
      </c>
      <c r="B123" s="34" t="inlineStr">
        <is>
          <t>Isaac</t>
        </is>
      </c>
      <c r="C123" s="34" t="inlineStr">
        <is>
          <t>Christian</t>
        </is>
      </c>
      <c r="D123" s="34" t="inlineStr">
        <is>
          <t>Princeton University</t>
        </is>
      </c>
      <c r="E123" s="34" t="inlineStr">
        <is>
          <t>Psychology</t>
        </is>
      </c>
      <c r="F123" s="35" t="inlineStr">
        <is>
          <t>High</t>
        </is>
      </c>
      <c r="G123" s="35" t="inlineStr">
        <is>
          <t>High</t>
        </is>
      </c>
      <c r="H123" s="34" t="inlineStr">
        <is>
          <t>isaacrc@princeton.edu</t>
        </is>
      </c>
      <c r="I123" s="34" t="inlineStr">
        <is>
          <t>2026-04-02</t>
        </is>
      </c>
      <c r="J123" s="34" t="n"/>
      <c r="K123" s="34" t="inlineStr">
        <is>
          <t>NO</t>
        </is>
      </c>
      <c r="L123" s="36" t="inlineStr">
        <is>
          <t>New Lead</t>
        </is>
      </c>
      <c r="M123" s="34" t="n"/>
      <c r="N123" s="34" t="n"/>
      <c r="O123" s="34" t="n"/>
      <c r="P123" s="34" t="n">
        <v>2500</v>
      </c>
      <c r="Q123" s="34" t="n">
        <v>0</v>
      </c>
      <c r="R123" s="37">
        <f>IF(J123="","",TODAY()-DATE(LEFT(J123,4)*1,MID(J123,6,2)*1,RIGHT(J123,2)*1))</f>
        <v/>
      </c>
    </row>
    <row r="124" ht="18" customHeight="1" s="31">
      <c r="A124" s="38" t="n">
        <v>122</v>
      </c>
      <c r="B124" s="38" t="inlineStr">
        <is>
          <t>Faustine</t>
        </is>
      </c>
      <c r="C124" s="38" t="inlineStr">
        <is>
          <t>Corbani</t>
        </is>
      </c>
      <c r="D124" s="38" t="inlineStr">
        <is>
          <t>Princeton University</t>
        </is>
      </c>
      <c r="E124" s="38" t="inlineStr">
        <is>
          <t>Psychology</t>
        </is>
      </c>
      <c r="F124" s="35" t="inlineStr">
        <is>
          <t>High</t>
        </is>
      </c>
      <c r="G124" s="35" t="inlineStr">
        <is>
          <t>High</t>
        </is>
      </c>
      <c r="H124" s="38" t="inlineStr">
        <is>
          <t>fc2250@princeton.edu</t>
        </is>
      </c>
      <c r="I124" s="38" t="inlineStr">
        <is>
          <t>2026-04-02</t>
        </is>
      </c>
      <c r="J124" s="38" t="n"/>
      <c r="K124" s="38" t="inlineStr">
        <is>
          <t>NO</t>
        </is>
      </c>
      <c r="L124" s="39" t="inlineStr">
        <is>
          <t>New Lead</t>
        </is>
      </c>
      <c r="M124" s="38" t="n"/>
      <c r="N124" s="38" t="n"/>
      <c r="O124" s="38" t="n"/>
      <c r="P124" s="38" t="n">
        <v>2500</v>
      </c>
      <c r="Q124" s="38" t="n">
        <v>0</v>
      </c>
      <c r="R124" s="40">
        <f>IF(J124="","",TODAY()-DATE(LEFT(J124,4)*1,MID(J124,6,2)*1,RIGHT(J124,2)*1))</f>
        <v/>
      </c>
    </row>
    <row r="125" ht="18" customHeight="1" s="31">
      <c r="A125" s="34" t="n">
        <v>123</v>
      </c>
      <c r="B125" s="34" t="inlineStr">
        <is>
          <t>Jonathan</t>
        </is>
      </c>
      <c r="C125" s="34" t="inlineStr">
        <is>
          <t>Daniels</t>
        </is>
      </c>
      <c r="D125" s="34" t="inlineStr">
        <is>
          <t>Princeton University</t>
        </is>
      </c>
      <c r="E125" s="34" t="inlineStr">
        <is>
          <t>Psychology</t>
        </is>
      </c>
      <c r="F125" s="35" t="inlineStr">
        <is>
          <t>High</t>
        </is>
      </c>
      <c r="G125" s="35" t="inlineStr">
        <is>
          <t>High</t>
        </is>
      </c>
      <c r="H125" s="34" t="inlineStr">
        <is>
          <t>jonathan.daniels@princeton.edu</t>
        </is>
      </c>
      <c r="I125" s="34" t="inlineStr">
        <is>
          <t>2026-04-02</t>
        </is>
      </c>
      <c r="J125" s="34" t="n"/>
      <c r="K125" s="34" t="inlineStr">
        <is>
          <t>NO</t>
        </is>
      </c>
      <c r="L125" s="36" t="inlineStr">
        <is>
          <t>New Lead</t>
        </is>
      </c>
      <c r="M125" s="34" t="n"/>
      <c r="N125" s="34" t="n"/>
      <c r="O125" s="34" t="n"/>
      <c r="P125" s="34" t="n">
        <v>2500</v>
      </c>
      <c r="Q125" s="34" t="n">
        <v>0</v>
      </c>
      <c r="R125" s="37">
        <f>IF(J125="","",TODAY()-DATE(LEFT(J125,4)*1,MID(J125,6,2)*1,RIGHT(J125,2)*1))</f>
        <v/>
      </c>
    </row>
    <row r="126" ht="18" customHeight="1" s="31">
      <c r="A126" s="38" t="n">
        <v>124</v>
      </c>
      <c r="B126" s="38" t="inlineStr">
        <is>
          <t>Priscilla</t>
        </is>
      </c>
      <c r="C126" s="38" t="inlineStr">
        <is>
          <t>Diaz-Gonzalez</t>
        </is>
      </c>
      <c r="D126" s="38" t="inlineStr">
        <is>
          <t>Princeton University</t>
        </is>
      </c>
      <c r="E126" s="38" t="inlineStr">
        <is>
          <t>Psychology</t>
        </is>
      </c>
      <c r="F126" s="35" t="inlineStr">
        <is>
          <t>High</t>
        </is>
      </c>
      <c r="G126" s="35" t="inlineStr">
        <is>
          <t>High</t>
        </is>
      </c>
      <c r="H126" s="38" t="inlineStr">
        <is>
          <t>pd6421@princeton.edu</t>
        </is>
      </c>
      <c r="I126" s="38" t="inlineStr">
        <is>
          <t>2026-04-02</t>
        </is>
      </c>
      <c r="J126" s="38" t="n"/>
      <c r="K126" s="38" t="inlineStr">
        <is>
          <t>NO</t>
        </is>
      </c>
      <c r="L126" s="39" t="inlineStr">
        <is>
          <t>New Lead</t>
        </is>
      </c>
      <c r="M126" s="38" t="n"/>
      <c r="N126" s="38" t="n"/>
      <c r="O126" s="38" t="n"/>
      <c r="P126" s="38" t="n">
        <v>2500</v>
      </c>
      <c r="Q126" s="38" t="n">
        <v>0</v>
      </c>
      <c r="R126" s="40">
        <f>IF(J126="","",TODAY()-DATE(LEFT(J126,4)*1,MID(J126,6,2)*1,RIGHT(J126,2)*1))</f>
        <v/>
      </c>
    </row>
    <row r="127" ht="18" customHeight="1" s="31">
      <c r="A127" s="34" t="n">
        <v>125</v>
      </c>
      <c r="B127" s="34" t="inlineStr">
        <is>
          <t>Cody</t>
        </is>
      </c>
      <c r="C127" s="34" t="inlineStr">
        <is>
          <t>Dong</t>
        </is>
      </c>
      <c r="D127" s="34" t="inlineStr">
        <is>
          <t>Princeton University</t>
        </is>
      </c>
      <c r="E127" s="34" t="inlineStr">
        <is>
          <t>Psychology</t>
        </is>
      </c>
      <c r="F127" s="35" t="inlineStr">
        <is>
          <t>High</t>
        </is>
      </c>
      <c r="G127" s="35" t="inlineStr">
        <is>
          <t>High</t>
        </is>
      </c>
      <c r="H127" s="34" t="inlineStr">
        <is>
          <t>codydong@princeton.edu</t>
        </is>
      </c>
      <c r="I127" s="34" t="inlineStr">
        <is>
          <t>2026-04-02</t>
        </is>
      </c>
      <c r="J127" s="34" t="n"/>
      <c r="K127" s="34" t="inlineStr">
        <is>
          <t>NO</t>
        </is>
      </c>
      <c r="L127" s="36" t="inlineStr">
        <is>
          <t>New Lead</t>
        </is>
      </c>
      <c r="M127" s="34" t="n"/>
      <c r="N127" s="34" t="n"/>
      <c r="O127" s="34" t="n"/>
      <c r="P127" s="34" t="n">
        <v>2500</v>
      </c>
      <c r="Q127" s="34" t="n">
        <v>0</v>
      </c>
      <c r="R127" s="37">
        <f>IF(J127="","",TODAY()-DATE(LEFT(J127,4)*1,MID(J127,6,2)*1,RIGHT(J127,2)*1))</f>
        <v/>
      </c>
    </row>
    <row r="128" ht="18" customHeight="1" s="31">
      <c r="A128" s="38" t="n">
        <v>126</v>
      </c>
      <c r="B128" s="38" t="inlineStr">
        <is>
          <t>Ari</t>
        </is>
      </c>
      <c r="C128" s="38" t="inlineStr">
        <is>
          <t>Dyckovsky</t>
        </is>
      </c>
      <c r="D128" s="38" t="inlineStr">
        <is>
          <t>Princeton University</t>
        </is>
      </c>
      <c r="E128" s="38" t="inlineStr">
        <is>
          <t>Psychology</t>
        </is>
      </c>
      <c r="F128" s="35" t="inlineStr">
        <is>
          <t>High</t>
        </is>
      </c>
      <c r="G128" s="35" t="inlineStr">
        <is>
          <t>High</t>
        </is>
      </c>
      <c r="H128" s="38" t="inlineStr">
        <is>
          <t>adyckovsky@princeton.edu</t>
        </is>
      </c>
      <c r="I128" s="38" t="inlineStr">
        <is>
          <t>2026-04-02</t>
        </is>
      </c>
      <c r="J128" s="38" t="n"/>
      <c r="K128" s="38" t="inlineStr">
        <is>
          <t>NO</t>
        </is>
      </c>
      <c r="L128" s="39" t="inlineStr">
        <is>
          <t>New Lead</t>
        </is>
      </c>
      <c r="M128" s="38" t="n"/>
      <c r="N128" s="38" t="n"/>
      <c r="O128" s="38" t="n"/>
      <c r="P128" s="38" t="n">
        <v>2500</v>
      </c>
      <c r="Q128" s="38" t="n">
        <v>0</v>
      </c>
      <c r="R128" s="40">
        <f>IF(J128="","",TODAY()-DATE(LEFT(J128,4)*1,MID(J128,6,2)*1,RIGHT(J128,2)*1))</f>
        <v/>
      </c>
    </row>
    <row r="129" ht="18" customHeight="1" s="31">
      <c r="A129" s="34" t="n">
        <v>127</v>
      </c>
      <c r="B129" s="34" t="inlineStr">
        <is>
          <t>Bella</t>
        </is>
      </c>
      <c r="C129" s="34" t="inlineStr">
        <is>
          <t>Fascendini</t>
        </is>
      </c>
      <c r="D129" s="34" t="inlineStr">
        <is>
          <t>Princeton University</t>
        </is>
      </c>
      <c r="E129" s="34" t="inlineStr">
        <is>
          <t>Psychology</t>
        </is>
      </c>
      <c r="F129" s="35" t="inlineStr">
        <is>
          <t>High</t>
        </is>
      </c>
      <c r="G129" s="35" t="inlineStr">
        <is>
          <t>High</t>
        </is>
      </c>
      <c r="H129" s="34" t="inlineStr">
        <is>
          <t>bfascendini@princeton.edu</t>
        </is>
      </c>
      <c r="I129" s="34" t="inlineStr">
        <is>
          <t>2026-04-02</t>
        </is>
      </c>
      <c r="J129" s="34" t="n"/>
      <c r="K129" s="34" t="inlineStr">
        <is>
          <t>NO</t>
        </is>
      </c>
      <c r="L129" s="36" t="inlineStr">
        <is>
          <t>New Lead</t>
        </is>
      </c>
      <c r="M129" s="34" t="n"/>
      <c r="N129" s="34" t="n"/>
      <c r="O129" s="34" t="n"/>
      <c r="P129" s="34" t="n">
        <v>2500</v>
      </c>
      <c r="Q129" s="34" t="n">
        <v>0</v>
      </c>
      <c r="R129" s="37">
        <f>IF(J129="","",TODAY()-DATE(LEFT(J129,4)*1,MID(J129,6,2)*1,RIGHT(J129,2)*1))</f>
        <v/>
      </c>
    </row>
    <row r="130" ht="18" customHeight="1" s="31">
      <c r="A130" s="38" t="n">
        <v>128</v>
      </c>
      <c r="B130" s="38" t="inlineStr">
        <is>
          <t>Abby</t>
        </is>
      </c>
      <c r="C130" s="38" t="inlineStr">
        <is>
          <t>Fergus</t>
        </is>
      </c>
      <c r="D130" s="38" t="inlineStr">
        <is>
          <t>Princeton University</t>
        </is>
      </c>
      <c r="E130" s="38" t="inlineStr">
        <is>
          <t>Psychology</t>
        </is>
      </c>
      <c r="F130" s="35" t="inlineStr">
        <is>
          <t>High</t>
        </is>
      </c>
      <c r="G130" s="35" t="inlineStr">
        <is>
          <t>High</t>
        </is>
      </c>
      <c r="H130" s="38" t="inlineStr">
        <is>
          <t>abby.fergus@princeton.edu</t>
        </is>
      </c>
      <c r="I130" s="38" t="inlineStr">
        <is>
          <t>2026-04-02</t>
        </is>
      </c>
      <c r="J130" s="38" t="n"/>
      <c r="K130" s="38" t="inlineStr">
        <is>
          <t>NO</t>
        </is>
      </c>
      <c r="L130" s="39" t="inlineStr">
        <is>
          <t>New Lead</t>
        </is>
      </c>
      <c r="M130" s="38" t="n"/>
      <c r="N130" s="38" t="n"/>
      <c r="O130" s="38" t="n"/>
      <c r="P130" s="38" t="n">
        <v>2500</v>
      </c>
      <c r="Q130" s="38" t="n">
        <v>0</v>
      </c>
      <c r="R130" s="40">
        <f>IF(J130="","",TODAY()-DATE(LEFT(J130,4)*1,MID(J130,6,2)*1,RIGHT(J130,2)*1))</f>
        <v/>
      </c>
    </row>
    <row r="131" ht="18" customHeight="1" s="31">
      <c r="A131" s="34" t="n">
        <v>129</v>
      </c>
      <c r="B131" s="34" t="inlineStr">
        <is>
          <t>Sydney</t>
        </is>
      </c>
      <c r="C131" s="34" t="inlineStr">
        <is>
          <t>Garcia</t>
        </is>
      </c>
      <c r="D131" s="34" t="inlineStr">
        <is>
          <t>Princeton University</t>
        </is>
      </c>
      <c r="E131" s="34" t="inlineStr">
        <is>
          <t>Psychology</t>
        </is>
      </c>
      <c r="F131" s="35" t="inlineStr">
        <is>
          <t>High</t>
        </is>
      </c>
      <c r="G131" s="35" t="inlineStr">
        <is>
          <t>High</t>
        </is>
      </c>
      <c r="H131" s="34" t="inlineStr">
        <is>
          <t>sbgarcia@princeton.edu</t>
        </is>
      </c>
      <c r="I131" s="34" t="inlineStr">
        <is>
          <t>2026-04-02</t>
        </is>
      </c>
      <c r="J131" s="34" t="n"/>
      <c r="K131" s="34" t="inlineStr">
        <is>
          <t>NO</t>
        </is>
      </c>
      <c r="L131" s="36" t="inlineStr">
        <is>
          <t>New Lead</t>
        </is>
      </c>
      <c r="M131" s="34" t="n"/>
      <c r="N131" s="34" t="n"/>
      <c r="O131" s="34" t="n"/>
      <c r="P131" s="34" t="n">
        <v>2500</v>
      </c>
      <c r="Q131" s="34" t="n">
        <v>0</v>
      </c>
      <c r="R131" s="37">
        <f>IF(J131="","",TODAY()-DATE(LEFT(J131,4)*1,MID(J131,6,2)*1,RIGHT(J131,2)*1))</f>
        <v/>
      </c>
    </row>
    <row r="132" ht="18" customHeight="1" s="31">
      <c r="A132" s="38" t="n">
        <v>130</v>
      </c>
      <c r="B132" s="38" t="inlineStr">
        <is>
          <t>Rose</t>
        </is>
      </c>
      <c r="C132" s="38" t="inlineStr">
        <is>
          <t>Guingrich</t>
        </is>
      </c>
      <c r="D132" s="38" t="inlineStr">
        <is>
          <t>Princeton University</t>
        </is>
      </c>
      <c r="E132" s="38" t="inlineStr">
        <is>
          <t>Psychology</t>
        </is>
      </c>
      <c r="F132" s="35" t="inlineStr">
        <is>
          <t>High</t>
        </is>
      </c>
      <c r="G132" s="35" t="inlineStr">
        <is>
          <t>High</t>
        </is>
      </c>
      <c r="H132" s="38" t="inlineStr">
        <is>
          <t>rose.guingrich@princeton.edu</t>
        </is>
      </c>
      <c r="I132" s="38" t="inlineStr">
        <is>
          <t>2026-04-02</t>
        </is>
      </c>
      <c r="J132" s="38" t="n"/>
      <c r="K132" s="38" t="inlineStr">
        <is>
          <t>NO</t>
        </is>
      </c>
      <c r="L132" s="39" t="inlineStr">
        <is>
          <t>New Lead</t>
        </is>
      </c>
      <c r="M132" s="38" t="n"/>
      <c r="N132" s="38" t="n"/>
      <c r="O132" s="38" t="n"/>
      <c r="P132" s="38" t="n">
        <v>2500</v>
      </c>
      <c r="Q132" s="38" t="n">
        <v>0</v>
      </c>
      <c r="R132" s="40">
        <f>IF(J132="","",TODAY()-DATE(LEFT(J132,4)*1,MID(J132,6,2)*1,RIGHT(J132,2)*1))</f>
        <v/>
      </c>
    </row>
    <row r="133" ht="18" customHeight="1" s="31">
      <c r="A133" s="34" t="n">
        <v>131</v>
      </c>
      <c r="B133" s="34" t="inlineStr">
        <is>
          <t>Sevan</t>
        </is>
      </c>
      <c r="C133" s="34" t="inlineStr">
        <is>
          <t>Harootonian</t>
        </is>
      </c>
      <c r="D133" s="34" t="inlineStr">
        <is>
          <t>Princeton University</t>
        </is>
      </c>
      <c r="E133" s="34" t="inlineStr">
        <is>
          <t>Psychology</t>
        </is>
      </c>
      <c r="F133" s="35" t="inlineStr">
        <is>
          <t>High</t>
        </is>
      </c>
      <c r="G133" s="35" t="inlineStr">
        <is>
          <t>High</t>
        </is>
      </c>
      <c r="H133" s="34" t="inlineStr">
        <is>
          <t>skh@princeton.edu</t>
        </is>
      </c>
      <c r="I133" s="34" t="inlineStr">
        <is>
          <t>2026-04-02</t>
        </is>
      </c>
      <c r="J133" s="34" t="n"/>
      <c r="K133" s="34" t="inlineStr">
        <is>
          <t>NO</t>
        </is>
      </c>
      <c r="L133" s="36" t="inlineStr">
        <is>
          <t>New Lead</t>
        </is>
      </c>
      <c r="M133" s="34" t="n"/>
      <c r="N133" s="34" t="n"/>
      <c r="O133" s="34" t="n"/>
      <c r="P133" s="34" t="n">
        <v>2500</v>
      </c>
      <c r="Q133" s="34" t="n">
        <v>0</v>
      </c>
      <c r="R133" s="37">
        <f>IF(J133="","",TODAY()-DATE(LEFT(J133,4)*1,MID(J133,6,2)*1,RIGHT(J133,2)*1))</f>
        <v/>
      </c>
    </row>
    <row r="134" ht="18" customHeight="1" s="31">
      <c r="A134" s="38" t="n">
        <v>132</v>
      </c>
      <c r="B134" s="38" t="inlineStr">
        <is>
          <t>Nicole</t>
        </is>
      </c>
      <c r="C134" s="38" t="inlineStr">
        <is>
          <t>Horner</t>
        </is>
      </c>
      <c r="D134" s="38" t="inlineStr">
        <is>
          <t>Princeton University</t>
        </is>
      </c>
      <c r="E134" s="38" t="inlineStr">
        <is>
          <t>Psychology</t>
        </is>
      </c>
      <c r="F134" s="35" t="inlineStr">
        <is>
          <t>High</t>
        </is>
      </c>
      <c r="G134" s="35" t="inlineStr">
        <is>
          <t>High</t>
        </is>
      </c>
      <c r="H134" s="38" t="inlineStr">
        <is>
          <t>nhorner@princeton.edu</t>
        </is>
      </c>
      <c r="I134" s="38" t="inlineStr">
        <is>
          <t>2026-04-02</t>
        </is>
      </c>
      <c r="J134" s="38" t="n"/>
      <c r="K134" s="38" t="inlineStr">
        <is>
          <t>NO</t>
        </is>
      </c>
      <c r="L134" s="39" t="inlineStr">
        <is>
          <t>New Lead</t>
        </is>
      </c>
      <c r="M134" s="38" t="n"/>
      <c r="N134" s="38" t="n"/>
      <c r="O134" s="38" t="n"/>
      <c r="P134" s="38" t="n">
        <v>2500</v>
      </c>
      <c r="Q134" s="38" t="n">
        <v>0</v>
      </c>
      <c r="R134" s="40">
        <f>IF(J134="","",TODAY()-DATE(LEFT(J134,4)*1,MID(J134,6,2)*1,RIGHT(J134,2)*1))</f>
        <v/>
      </c>
    </row>
    <row r="135" ht="18" customHeight="1" s="31">
      <c r="A135" s="34" t="n">
        <v>133</v>
      </c>
      <c r="B135" s="34" t="inlineStr">
        <is>
          <t>Ham</t>
        </is>
      </c>
      <c r="C135" s="34" t="inlineStr">
        <is>
          <t>Huang</t>
        </is>
      </c>
      <c r="D135" s="34" t="inlineStr">
        <is>
          <t>Princeton University</t>
        </is>
      </c>
      <c r="E135" s="34" t="inlineStr">
        <is>
          <t>Psychology</t>
        </is>
      </c>
      <c r="F135" s="35" t="inlineStr">
        <is>
          <t>High</t>
        </is>
      </c>
      <c r="G135" s="35" t="inlineStr">
        <is>
          <t>High</t>
        </is>
      </c>
      <c r="H135" s="34" t="inlineStr">
        <is>
          <t>hh7792@princeton.edu</t>
        </is>
      </c>
      <c r="I135" s="34" t="inlineStr">
        <is>
          <t>2026-04-02</t>
        </is>
      </c>
      <c r="J135" s="34" t="n"/>
      <c r="K135" s="34" t="inlineStr">
        <is>
          <t>NO</t>
        </is>
      </c>
      <c r="L135" s="36" t="inlineStr">
        <is>
          <t>New Lead</t>
        </is>
      </c>
      <c r="M135" s="34" t="n"/>
      <c r="N135" s="34" t="n"/>
      <c r="O135" s="34" t="n"/>
      <c r="P135" s="34" t="n">
        <v>2500</v>
      </c>
      <c r="Q135" s="34" t="n">
        <v>0</v>
      </c>
      <c r="R135" s="37">
        <f>IF(J135="","",TODAY()-DATE(LEFT(J135,4)*1,MID(J135,6,2)*1,RIGHT(J135,2)*1))</f>
        <v/>
      </c>
    </row>
    <row r="136" ht="18" customHeight="1" s="31">
      <c r="A136" s="38" t="n">
        <v>134</v>
      </c>
      <c r="B136" s="38" t="inlineStr">
        <is>
          <t>Nicole</t>
        </is>
      </c>
      <c r="C136" s="38" t="inlineStr">
        <is>
          <t>Johnson</t>
        </is>
      </c>
      <c r="D136" s="38" t="inlineStr">
        <is>
          <t>Princeton University</t>
        </is>
      </c>
      <c r="E136" s="38" t="inlineStr">
        <is>
          <t>Psychology</t>
        </is>
      </c>
      <c r="F136" s="35" t="inlineStr">
        <is>
          <t>High</t>
        </is>
      </c>
      <c r="G136" s="35" t="inlineStr">
        <is>
          <t>High</t>
        </is>
      </c>
      <c r="H136" s="38" t="inlineStr">
        <is>
          <t>nicolecj@princeton.edu</t>
        </is>
      </c>
      <c r="I136" s="38" t="inlineStr">
        <is>
          <t>2026-04-02</t>
        </is>
      </c>
      <c r="J136" s="38" t="n"/>
      <c r="K136" s="38" t="inlineStr">
        <is>
          <t>NO</t>
        </is>
      </c>
      <c r="L136" s="39" t="inlineStr">
        <is>
          <t>New Lead</t>
        </is>
      </c>
      <c r="M136" s="38" t="n"/>
      <c r="N136" s="38" t="n"/>
      <c r="O136" s="38" t="n"/>
      <c r="P136" s="38" t="n">
        <v>2500</v>
      </c>
      <c r="Q136" s="38" t="n">
        <v>0</v>
      </c>
      <c r="R136" s="40">
        <f>IF(J136="","",TODAY()-DATE(LEFT(J136,4)*1,MID(J136,6,2)*1,RIGHT(J136,2)*1))</f>
        <v/>
      </c>
    </row>
    <row r="137" ht="18" customHeight="1" s="31">
      <c r="A137" s="34" t="n">
        <v>135</v>
      </c>
      <c r="B137" s="34" t="inlineStr">
        <is>
          <t>Sarah</t>
        </is>
      </c>
      <c r="C137" s="34" t="inlineStr">
        <is>
          <t>Joo</t>
        </is>
      </c>
      <c r="D137" s="34" t="inlineStr">
        <is>
          <t>Princeton University</t>
        </is>
      </c>
      <c r="E137" s="34" t="inlineStr">
        <is>
          <t>Psychology</t>
        </is>
      </c>
      <c r="F137" s="35" t="inlineStr">
        <is>
          <t>High</t>
        </is>
      </c>
      <c r="G137" s="35" t="inlineStr">
        <is>
          <t>High</t>
        </is>
      </c>
      <c r="H137" s="34" t="inlineStr">
        <is>
          <t>sehrang.joo@princeton.edu</t>
        </is>
      </c>
      <c r="I137" s="34" t="inlineStr">
        <is>
          <t>2026-04-02</t>
        </is>
      </c>
      <c r="J137" s="34" t="n"/>
      <c r="K137" s="34" t="inlineStr">
        <is>
          <t>NO</t>
        </is>
      </c>
      <c r="L137" s="36" t="inlineStr">
        <is>
          <t>New Lead</t>
        </is>
      </c>
      <c r="M137" s="34" t="n"/>
      <c r="N137" s="34" t="n"/>
      <c r="O137" s="34" t="n"/>
      <c r="P137" s="34" t="n">
        <v>2500</v>
      </c>
      <c r="Q137" s="34" t="n">
        <v>0</v>
      </c>
      <c r="R137" s="37">
        <f>IF(J137="","",TODAY()-DATE(LEFT(J137,4)*1,MID(J137,6,2)*1,RIGHT(J137,2)*1))</f>
        <v/>
      </c>
    </row>
    <row r="138" ht="18" customHeight="1" s="31">
      <c r="A138" s="38" t="n">
        <v>136</v>
      </c>
      <c r="B138" s="38" t="inlineStr">
        <is>
          <t>Tommy</t>
        </is>
      </c>
      <c r="C138" s="38" t="inlineStr">
        <is>
          <t>Kan</t>
        </is>
      </c>
      <c r="D138" s="38" t="inlineStr">
        <is>
          <t>Princeton University</t>
        </is>
      </c>
      <c r="E138" s="38" t="inlineStr">
        <is>
          <t>Psychology</t>
        </is>
      </c>
      <c r="F138" s="35" t="inlineStr">
        <is>
          <t>High</t>
        </is>
      </c>
      <c r="G138" s="35" t="inlineStr">
        <is>
          <t>High</t>
        </is>
      </c>
      <c r="H138" s="38" t="inlineStr">
        <is>
          <t>hk4378@princeton.edu</t>
        </is>
      </c>
      <c r="I138" s="38" t="inlineStr">
        <is>
          <t>2026-04-02</t>
        </is>
      </c>
      <c r="J138" s="38" t="n"/>
      <c r="K138" s="38" t="inlineStr">
        <is>
          <t>NO</t>
        </is>
      </c>
      <c r="L138" s="39" t="inlineStr">
        <is>
          <t>New Lead</t>
        </is>
      </c>
      <c r="M138" s="38" t="n"/>
      <c r="N138" s="38" t="n"/>
      <c r="O138" s="38" t="n"/>
      <c r="P138" s="38" t="n">
        <v>2500</v>
      </c>
      <c r="Q138" s="38" t="n">
        <v>0</v>
      </c>
      <c r="R138" s="40">
        <f>IF(J138="","",TODAY()-DATE(LEFT(J138,4)*1,MID(J138,6,2)*1,RIGHT(J138,2)*1))</f>
        <v/>
      </c>
    </row>
    <row r="139" ht="18" customHeight="1" s="31">
      <c r="A139" s="34" t="n">
        <v>137</v>
      </c>
      <c r="B139" s="34" t="inlineStr">
        <is>
          <t>Carina</t>
        </is>
      </c>
      <c r="C139" s="34" t="inlineStr">
        <is>
          <t>Kane</t>
        </is>
      </c>
      <c r="D139" s="34" t="inlineStr">
        <is>
          <t>Princeton University</t>
        </is>
      </c>
      <c r="E139" s="34" t="inlineStr">
        <is>
          <t>Psychology</t>
        </is>
      </c>
      <c r="F139" s="35" t="inlineStr">
        <is>
          <t>High</t>
        </is>
      </c>
      <c r="G139" s="35" t="inlineStr">
        <is>
          <t>High</t>
        </is>
      </c>
      <c r="H139" s="34" t="inlineStr">
        <is>
          <t>carinakane@princeton.edu</t>
        </is>
      </c>
      <c r="I139" s="34" t="inlineStr">
        <is>
          <t>2026-04-02</t>
        </is>
      </c>
      <c r="J139" s="34" t="n"/>
      <c r="K139" s="34" t="inlineStr">
        <is>
          <t>NO</t>
        </is>
      </c>
      <c r="L139" s="36" t="inlineStr">
        <is>
          <t>New Lead</t>
        </is>
      </c>
      <c r="M139" s="34" t="n"/>
      <c r="N139" s="34" t="n"/>
      <c r="O139" s="34" t="n"/>
      <c r="P139" s="34" t="n">
        <v>2500</v>
      </c>
      <c r="Q139" s="34" t="n">
        <v>0</v>
      </c>
      <c r="R139" s="37">
        <f>IF(J139="","",TODAY()-DATE(LEFT(J139,4)*1,MID(J139,6,2)*1,RIGHT(J139,2)*1))</f>
        <v/>
      </c>
    </row>
    <row r="140" ht="18" customHeight="1" s="31">
      <c r="A140" s="38" t="n">
        <v>138</v>
      </c>
      <c r="B140" s="38" t="inlineStr">
        <is>
          <t>Yeaju</t>
        </is>
      </c>
      <c r="C140" s="38" t="inlineStr">
        <is>
          <t>Diana Kim</t>
        </is>
      </c>
      <c r="D140" s="38" t="inlineStr">
        <is>
          <t>Princeton University</t>
        </is>
      </c>
      <c r="E140" s="38" t="inlineStr">
        <is>
          <t>Psychology</t>
        </is>
      </c>
      <c r="F140" s="35" t="inlineStr">
        <is>
          <t>High</t>
        </is>
      </c>
      <c r="G140" s="35" t="inlineStr">
        <is>
          <t>High</t>
        </is>
      </c>
      <c r="H140" s="38" t="inlineStr">
        <is>
          <t>yk9446@princeton.edu</t>
        </is>
      </c>
      <c r="I140" s="38" t="inlineStr">
        <is>
          <t>2026-04-02</t>
        </is>
      </c>
      <c r="J140" s="38" t="n"/>
      <c r="K140" s="38" t="inlineStr">
        <is>
          <t>NO</t>
        </is>
      </c>
      <c r="L140" s="39" t="inlineStr">
        <is>
          <t>New Lead</t>
        </is>
      </c>
      <c r="M140" s="38" t="n"/>
      <c r="N140" s="38" t="n"/>
      <c r="O140" s="38" t="n"/>
      <c r="P140" s="38" t="n">
        <v>2500</v>
      </c>
      <c r="Q140" s="38" t="n">
        <v>0</v>
      </c>
      <c r="R140" s="40">
        <f>IF(J140="","",TODAY()-DATE(LEFT(J140,4)*1,MID(J140,6,2)*1,RIGHT(J140,2)*1))</f>
        <v/>
      </c>
    </row>
    <row r="141" ht="18" customHeight="1" s="31">
      <c r="A141" s="34" t="n">
        <v>139</v>
      </c>
      <c r="B141" s="34" t="inlineStr">
        <is>
          <t>Aditi</t>
        </is>
      </c>
      <c r="C141" s="34" t="inlineStr">
        <is>
          <t>Kodipady</t>
        </is>
      </c>
      <c r="D141" s="34" t="inlineStr">
        <is>
          <t>Princeton University</t>
        </is>
      </c>
      <c r="E141" s="34" t="inlineStr">
        <is>
          <t>Psychology</t>
        </is>
      </c>
      <c r="F141" s="35" t="inlineStr">
        <is>
          <t>High</t>
        </is>
      </c>
      <c r="G141" s="35" t="inlineStr">
        <is>
          <t>High</t>
        </is>
      </c>
      <c r="H141" s="34" t="inlineStr">
        <is>
          <t>akodipady@princeton.edu</t>
        </is>
      </c>
      <c r="I141" s="34" t="inlineStr">
        <is>
          <t>2026-04-02</t>
        </is>
      </c>
      <c r="J141" s="34" t="n"/>
      <c r="K141" s="34" t="inlineStr">
        <is>
          <t>NO</t>
        </is>
      </c>
      <c r="L141" s="36" t="inlineStr">
        <is>
          <t>New Lead</t>
        </is>
      </c>
      <c r="M141" s="34" t="n"/>
      <c r="N141" s="34" t="n"/>
      <c r="O141" s="34" t="n"/>
      <c r="P141" s="34" t="n">
        <v>2500</v>
      </c>
      <c r="Q141" s="34" t="n">
        <v>0</v>
      </c>
      <c r="R141" s="37">
        <f>IF(J141="","",TODAY()-DATE(LEFT(J141,4)*1,MID(J141,6,2)*1,RIGHT(J141,2)*1))</f>
        <v/>
      </c>
    </row>
    <row r="142" ht="18" customHeight="1" s="31">
      <c r="A142" s="38" t="n">
        <v>140</v>
      </c>
      <c r="B142" s="38" t="inlineStr">
        <is>
          <t>Alexander</t>
        </is>
      </c>
      <c r="C142" s="38" t="inlineStr">
        <is>
          <t>Ku</t>
        </is>
      </c>
      <c r="D142" s="38" t="inlineStr">
        <is>
          <t>Princeton University</t>
        </is>
      </c>
      <c r="E142" s="38" t="inlineStr">
        <is>
          <t>Psychology</t>
        </is>
      </c>
      <c r="F142" s="35" t="inlineStr">
        <is>
          <t>High</t>
        </is>
      </c>
      <c r="G142" s="35" t="inlineStr">
        <is>
          <t>High</t>
        </is>
      </c>
      <c r="H142" s="38" t="inlineStr">
        <is>
          <t>ak4601@princeton.edu</t>
        </is>
      </c>
      <c r="I142" s="38" t="inlineStr">
        <is>
          <t>2026-04-02</t>
        </is>
      </c>
      <c r="J142" s="38" t="n"/>
      <c r="K142" s="38" t="inlineStr">
        <is>
          <t>NO</t>
        </is>
      </c>
      <c r="L142" s="39" t="inlineStr">
        <is>
          <t>New Lead</t>
        </is>
      </c>
      <c r="M142" s="38" t="n"/>
      <c r="N142" s="38" t="n"/>
      <c r="O142" s="38" t="n"/>
      <c r="P142" s="38" t="n">
        <v>2500</v>
      </c>
      <c r="Q142" s="38" t="n">
        <v>0</v>
      </c>
      <c r="R142" s="40">
        <f>IF(J142="","",TODAY()-DATE(LEFT(J142,4)*1,MID(J142,6,2)*1,RIGHT(J142,2)*1))</f>
        <v/>
      </c>
    </row>
    <row r="143" ht="18" customHeight="1" s="31">
      <c r="A143" s="34" t="n">
        <v>141</v>
      </c>
      <c r="B143" s="34" t="inlineStr">
        <is>
          <t>Ariadne</t>
        </is>
      </c>
      <c r="C143" s="34" t="inlineStr">
        <is>
          <t>Letrou</t>
        </is>
      </c>
      <c r="D143" s="34" t="inlineStr">
        <is>
          <t>Princeton University</t>
        </is>
      </c>
      <c r="E143" s="34" t="inlineStr">
        <is>
          <t>Psychology</t>
        </is>
      </c>
      <c r="F143" s="35" t="inlineStr">
        <is>
          <t>High</t>
        </is>
      </c>
      <c r="G143" s="35" t="inlineStr">
        <is>
          <t>High</t>
        </is>
      </c>
      <c r="H143" s="34" t="inlineStr">
        <is>
          <t>ariadne@princeton.edu</t>
        </is>
      </c>
      <c r="I143" s="34" t="inlineStr">
        <is>
          <t>2026-04-02</t>
        </is>
      </c>
      <c r="J143" s="34" t="n"/>
      <c r="K143" s="34" t="inlineStr">
        <is>
          <t>NO</t>
        </is>
      </c>
      <c r="L143" s="36" t="inlineStr">
        <is>
          <t>New Lead</t>
        </is>
      </c>
      <c r="M143" s="34" t="n"/>
      <c r="N143" s="34" t="n"/>
      <c r="O143" s="34" t="n"/>
      <c r="P143" s="34" t="n">
        <v>2500</v>
      </c>
      <c r="Q143" s="34" t="n">
        <v>0</v>
      </c>
      <c r="R143" s="37">
        <f>IF(J143="","",TODAY()-DATE(LEFT(J143,4)*1,MID(J143,6,2)*1,RIGHT(J143,2)*1))</f>
        <v/>
      </c>
    </row>
    <row r="144" ht="18" customHeight="1" s="31">
      <c r="A144" s="38" t="n">
        <v>142</v>
      </c>
      <c r="B144" s="38" t="inlineStr">
        <is>
          <t>Casey</t>
        </is>
      </c>
      <c r="C144" s="38" t="inlineStr">
        <is>
          <t>Lewry</t>
        </is>
      </c>
      <c r="D144" s="38" t="inlineStr">
        <is>
          <t>Princeton University</t>
        </is>
      </c>
      <c r="E144" s="38" t="inlineStr">
        <is>
          <t>Psychology</t>
        </is>
      </c>
      <c r="F144" s="35" t="inlineStr">
        <is>
          <t>High</t>
        </is>
      </c>
      <c r="G144" s="35" t="inlineStr">
        <is>
          <t>High</t>
        </is>
      </c>
      <c r="H144" s="38" t="inlineStr">
        <is>
          <t>lewry@princeton.edu</t>
        </is>
      </c>
      <c r="I144" s="38" t="inlineStr">
        <is>
          <t>2026-04-02</t>
        </is>
      </c>
      <c r="J144" s="38" t="n"/>
      <c r="K144" s="38" t="inlineStr">
        <is>
          <t>NO</t>
        </is>
      </c>
      <c r="L144" s="39" t="inlineStr">
        <is>
          <t>New Lead</t>
        </is>
      </c>
      <c r="M144" s="38" t="n"/>
      <c r="N144" s="38" t="n"/>
      <c r="O144" s="38" t="n"/>
      <c r="P144" s="38" t="n">
        <v>2500</v>
      </c>
      <c r="Q144" s="38" t="n">
        <v>0</v>
      </c>
      <c r="R144" s="40">
        <f>IF(J144="","",TODAY()-DATE(LEFT(J144,4)*1,MID(J144,6,2)*1,RIGHT(J144,2)*1))</f>
        <v/>
      </c>
    </row>
    <row r="145" ht="18" customHeight="1" s="31">
      <c r="A145" s="34" t="n">
        <v>143</v>
      </c>
      <c r="B145" s="34" t="inlineStr">
        <is>
          <t>Gracielle</t>
        </is>
      </c>
      <c r="C145" s="34" t="inlineStr">
        <is>
          <t>Li</t>
        </is>
      </c>
      <c r="D145" s="34" t="inlineStr">
        <is>
          <t>Princeton University</t>
        </is>
      </c>
      <c r="E145" s="34" t="inlineStr">
        <is>
          <t>Psychology</t>
        </is>
      </c>
      <c r="F145" s="35" t="inlineStr">
        <is>
          <t>High</t>
        </is>
      </c>
      <c r="G145" s="35" t="inlineStr">
        <is>
          <t>High</t>
        </is>
      </c>
      <c r="H145" s="34" t="inlineStr">
        <is>
          <t>gracielle@princeton.edu</t>
        </is>
      </c>
      <c r="I145" s="34" t="inlineStr">
        <is>
          <t>2026-04-02</t>
        </is>
      </c>
      <c r="J145" s="34" t="n"/>
      <c r="K145" s="34" t="inlineStr">
        <is>
          <t>NO</t>
        </is>
      </c>
      <c r="L145" s="36" t="inlineStr">
        <is>
          <t>New Lead</t>
        </is>
      </c>
      <c r="M145" s="34" t="n"/>
      <c r="N145" s="34" t="n"/>
      <c r="O145" s="34" t="n"/>
      <c r="P145" s="34" t="n">
        <v>2500</v>
      </c>
      <c r="Q145" s="34" t="n">
        <v>0</v>
      </c>
      <c r="R145" s="37">
        <f>IF(J145="","",TODAY()-DATE(LEFT(J145,4)*1,MID(J145,6,2)*1,RIGHT(J145,2)*1))</f>
        <v/>
      </c>
    </row>
    <row r="146" ht="18" customHeight="1" s="31">
      <c r="A146" s="38" t="n">
        <v>144</v>
      </c>
      <c r="B146" s="38" t="inlineStr">
        <is>
          <t>Xiaoyi</t>
        </is>
      </c>
      <c r="C146" s="38" t="inlineStr">
        <is>
          <t>Liu</t>
        </is>
      </c>
      <c r="D146" s="38" t="inlineStr">
        <is>
          <t>Princeton University</t>
        </is>
      </c>
      <c r="E146" s="38" t="inlineStr">
        <is>
          <t>Psychology</t>
        </is>
      </c>
      <c r="F146" s="35" t="inlineStr">
        <is>
          <t>High</t>
        </is>
      </c>
      <c r="G146" s="35" t="inlineStr">
        <is>
          <t>High</t>
        </is>
      </c>
      <c r="H146" s="38" t="inlineStr">
        <is>
          <t>xiaoyi.liu@princeton.edu</t>
        </is>
      </c>
      <c r="I146" s="38" t="inlineStr">
        <is>
          <t>2026-04-02</t>
        </is>
      </c>
      <c r="J146" s="38" t="n"/>
      <c r="K146" s="38" t="inlineStr">
        <is>
          <t>NO</t>
        </is>
      </c>
      <c r="L146" s="39" t="inlineStr">
        <is>
          <t>New Lead</t>
        </is>
      </c>
      <c r="M146" s="38" t="n"/>
      <c r="N146" s="38" t="n"/>
      <c r="O146" s="38" t="n"/>
      <c r="P146" s="38" t="n">
        <v>2500</v>
      </c>
      <c r="Q146" s="38" t="n">
        <v>0</v>
      </c>
      <c r="R146" s="40">
        <f>IF(J146="","",TODAY()-DATE(LEFT(J146,4)*1,MID(J146,6,2)*1,RIGHT(J146,2)*1))</f>
        <v/>
      </c>
    </row>
    <row r="147" ht="18" customHeight="1" s="31">
      <c r="A147" s="34" t="n">
        <v>145</v>
      </c>
      <c r="B147" s="34" t="inlineStr">
        <is>
          <t>Raja</t>
        </is>
      </c>
      <c r="C147" s="34" t="inlineStr">
        <is>
          <t>Marjieh</t>
        </is>
      </c>
      <c r="D147" s="34" t="inlineStr">
        <is>
          <t>Princeton University</t>
        </is>
      </c>
      <c r="E147" s="34" t="inlineStr">
        <is>
          <t>Psychology</t>
        </is>
      </c>
      <c r="F147" s="35" t="inlineStr">
        <is>
          <t>High</t>
        </is>
      </c>
      <c r="G147" s="35" t="inlineStr">
        <is>
          <t>High</t>
        </is>
      </c>
      <c r="H147" s="34" t="inlineStr">
        <is>
          <t>raja.marjieh@princeton.edu</t>
        </is>
      </c>
      <c r="I147" s="34" t="inlineStr">
        <is>
          <t>2026-04-02</t>
        </is>
      </c>
      <c r="J147" s="34" t="n"/>
      <c r="K147" s="34" t="inlineStr">
        <is>
          <t>NO</t>
        </is>
      </c>
      <c r="L147" s="36" t="inlineStr">
        <is>
          <t>New Lead</t>
        </is>
      </c>
      <c r="M147" s="34" t="n"/>
      <c r="N147" s="34" t="n"/>
      <c r="O147" s="34" t="n"/>
      <c r="P147" s="34" t="n">
        <v>2500</v>
      </c>
      <c r="Q147" s="34" t="n">
        <v>0</v>
      </c>
      <c r="R147" s="37">
        <f>IF(J147="","",TODAY()-DATE(LEFT(J147,4)*1,MID(J147,6,2)*1,RIGHT(J147,2)*1))</f>
        <v/>
      </c>
    </row>
    <row r="148" ht="18" customHeight="1" s="31">
      <c r="A148" s="38" t="n">
        <v>146</v>
      </c>
      <c r="B148" s="38" t="inlineStr">
        <is>
          <t>Killian</t>
        </is>
      </c>
      <c r="C148" s="38" t="inlineStr">
        <is>
          <t>McLoughlin</t>
        </is>
      </c>
      <c r="D148" s="38" t="inlineStr">
        <is>
          <t>Princeton University</t>
        </is>
      </c>
      <c r="E148" s="38" t="inlineStr">
        <is>
          <t>Psychology</t>
        </is>
      </c>
      <c r="F148" s="35" t="inlineStr">
        <is>
          <t>High</t>
        </is>
      </c>
      <c r="G148" s="35" t="inlineStr">
        <is>
          <t>High</t>
        </is>
      </c>
      <c r="H148" s="38" t="inlineStr">
        <is>
          <t>k.mcloughlin@princeton.edu</t>
        </is>
      </c>
      <c r="I148" s="38" t="inlineStr">
        <is>
          <t>2026-04-02</t>
        </is>
      </c>
      <c r="J148" s="38" t="n"/>
      <c r="K148" s="38" t="inlineStr">
        <is>
          <t>NO</t>
        </is>
      </c>
      <c r="L148" s="39" t="inlineStr">
        <is>
          <t>New Lead</t>
        </is>
      </c>
      <c r="M148" s="38" t="n"/>
      <c r="N148" s="38" t="n"/>
      <c r="O148" s="38" t="n"/>
      <c r="P148" s="38" t="n">
        <v>2500</v>
      </c>
      <c r="Q148" s="38" t="n">
        <v>0</v>
      </c>
      <c r="R148" s="40">
        <f>IF(J148="","",TODAY()-DATE(LEFT(J148,4)*1,MID(J148,6,2)*1,RIGHT(J148,2)*1))</f>
        <v/>
      </c>
    </row>
    <row r="149" ht="18" customHeight="1" s="31">
      <c r="A149" s="34" t="n">
        <v>147</v>
      </c>
      <c r="B149" s="34" t="inlineStr">
        <is>
          <t>Steven</t>
        </is>
      </c>
      <c r="C149" s="34" t="inlineStr">
        <is>
          <t>Mesquiti</t>
        </is>
      </c>
      <c r="D149" s="34" t="inlineStr">
        <is>
          <t>Princeton University</t>
        </is>
      </c>
      <c r="E149" s="34" t="inlineStr">
        <is>
          <t>Psychology</t>
        </is>
      </c>
      <c r="F149" s="35" t="inlineStr">
        <is>
          <t>High</t>
        </is>
      </c>
      <c r="G149" s="35" t="inlineStr">
        <is>
          <t>High</t>
        </is>
      </c>
      <c r="H149" s="34" t="inlineStr">
        <is>
          <t>sm9518@princeton.edu</t>
        </is>
      </c>
      <c r="I149" s="34" t="inlineStr">
        <is>
          <t>2026-04-02</t>
        </is>
      </c>
      <c r="J149" s="34" t="n"/>
      <c r="K149" s="34" t="inlineStr">
        <is>
          <t>NO</t>
        </is>
      </c>
      <c r="L149" s="36" t="inlineStr">
        <is>
          <t>New Lead</t>
        </is>
      </c>
      <c r="M149" s="34" t="n"/>
      <c r="N149" s="34" t="n"/>
      <c r="O149" s="34" t="n"/>
      <c r="P149" s="34" t="n">
        <v>2500</v>
      </c>
      <c r="Q149" s="34" t="n">
        <v>0</v>
      </c>
      <c r="R149" s="37">
        <f>IF(J149="","",TODAY()-DATE(LEFT(J149,4)*1,MID(J149,6,2)*1,RIGHT(J149,2)*1))</f>
        <v/>
      </c>
    </row>
    <row r="150" ht="18" customHeight="1" s="31">
      <c r="A150" s="38" t="n">
        <v>148</v>
      </c>
      <c r="B150" s="38" t="inlineStr">
        <is>
          <t>Rachel</t>
        </is>
      </c>
      <c r="C150" s="38" t="inlineStr">
        <is>
          <t>Metzgar</t>
        </is>
      </c>
      <c r="D150" s="38" t="inlineStr">
        <is>
          <t>Princeton University</t>
        </is>
      </c>
      <c r="E150" s="38" t="inlineStr">
        <is>
          <t>Psychology</t>
        </is>
      </c>
      <c r="F150" s="35" t="inlineStr">
        <is>
          <t>High</t>
        </is>
      </c>
      <c r="G150" s="35" t="inlineStr">
        <is>
          <t>High</t>
        </is>
      </c>
      <c r="H150" s="38" t="inlineStr">
        <is>
          <t>rachel.metzgar@princeton.edu</t>
        </is>
      </c>
      <c r="I150" s="38" t="inlineStr">
        <is>
          <t>2026-04-02</t>
        </is>
      </c>
      <c r="J150" s="38" t="n"/>
      <c r="K150" s="38" t="inlineStr">
        <is>
          <t>NO</t>
        </is>
      </c>
      <c r="L150" s="39" t="inlineStr">
        <is>
          <t>New Lead</t>
        </is>
      </c>
      <c r="M150" s="38" t="n"/>
      <c r="N150" s="38" t="n"/>
      <c r="O150" s="38" t="n"/>
      <c r="P150" s="38" t="n">
        <v>2500</v>
      </c>
      <c r="Q150" s="38" t="n">
        <v>0</v>
      </c>
      <c r="R150" s="40">
        <f>IF(J150="","",TODAY()-DATE(LEFT(J150,4)*1,MID(J150,6,2)*1,RIGHT(J150,2)*1))</f>
        <v/>
      </c>
    </row>
    <row r="151" ht="18" customHeight="1" s="31">
      <c r="A151" s="34" t="n">
        <v>149</v>
      </c>
      <c r="B151" s="34" t="inlineStr">
        <is>
          <t>Dan-Mircea</t>
        </is>
      </c>
      <c r="C151" s="34" t="inlineStr">
        <is>
          <t>Mirea</t>
        </is>
      </c>
      <c r="D151" s="34" t="inlineStr">
        <is>
          <t>Princeton University</t>
        </is>
      </c>
      <c r="E151" s="34" t="inlineStr">
        <is>
          <t>Psychology</t>
        </is>
      </c>
      <c r="F151" s="35" t="inlineStr">
        <is>
          <t>High</t>
        </is>
      </c>
      <c r="G151" s="35" t="inlineStr">
        <is>
          <t>High</t>
        </is>
      </c>
      <c r="H151" s="34" t="inlineStr">
        <is>
          <t>dmirea@princeton.edu</t>
        </is>
      </c>
      <c r="I151" s="34" t="inlineStr">
        <is>
          <t>2026-04-02</t>
        </is>
      </c>
      <c r="J151" s="34" t="n"/>
      <c r="K151" s="34" t="inlineStr">
        <is>
          <t>NO</t>
        </is>
      </c>
      <c r="L151" s="36" t="inlineStr">
        <is>
          <t>New Lead</t>
        </is>
      </c>
      <c r="M151" s="34" t="n"/>
      <c r="N151" s="34" t="n"/>
      <c r="O151" s="34" t="n"/>
      <c r="P151" s="34" t="n">
        <v>2500</v>
      </c>
      <c r="Q151" s="34" t="n">
        <v>0</v>
      </c>
      <c r="R151" s="37">
        <f>IF(J151="","",TODAY()-DATE(LEFT(J151,4)*1,MID(J151,6,2)*1,RIGHT(J151,2)*1))</f>
        <v/>
      </c>
    </row>
    <row r="152" ht="18" customHeight="1" s="31">
      <c r="A152" s="38" t="n">
        <v>150</v>
      </c>
      <c r="B152" s="38" t="inlineStr">
        <is>
          <t>Sebastian</t>
        </is>
      </c>
      <c r="C152" s="38" t="inlineStr">
        <is>
          <t>Montesinos</t>
        </is>
      </c>
      <c r="D152" s="38" t="inlineStr">
        <is>
          <t>Princeton University</t>
        </is>
      </c>
      <c r="E152" s="38" t="inlineStr">
        <is>
          <t>Psychology</t>
        </is>
      </c>
      <c r="F152" s="35" t="inlineStr">
        <is>
          <t>High</t>
        </is>
      </c>
      <c r="G152" s="35" t="inlineStr">
        <is>
          <t>High</t>
        </is>
      </c>
      <c r="H152" s="38" t="inlineStr">
        <is>
          <t>sm6511@princeton.edu</t>
        </is>
      </c>
      <c r="I152" s="38" t="inlineStr">
        <is>
          <t>2026-04-02</t>
        </is>
      </c>
      <c r="J152" s="38" t="n"/>
      <c r="K152" s="38" t="inlineStr">
        <is>
          <t>NO</t>
        </is>
      </c>
      <c r="L152" s="39" t="inlineStr">
        <is>
          <t>New Lead</t>
        </is>
      </c>
      <c r="M152" s="38" t="n"/>
      <c r="N152" s="38" t="n"/>
      <c r="O152" s="38" t="n"/>
      <c r="P152" s="38" t="n">
        <v>2500</v>
      </c>
      <c r="Q152" s="38" t="n">
        <v>0</v>
      </c>
      <c r="R152" s="40">
        <f>IF(J152="","",TODAY()-DATE(LEFT(J152,4)*1,MID(J152,6,2)*1,RIGHT(J152,2)*1))</f>
        <v/>
      </c>
    </row>
    <row r="153" ht="18" customHeight="1" s="31">
      <c r="A153" s="34" t="n">
        <v>151</v>
      </c>
      <c r="B153" s="34" t="inlineStr">
        <is>
          <t>Kris</t>
        </is>
      </c>
      <c r="C153" s="34" t="inlineStr">
        <is>
          <t>Nichols</t>
        </is>
      </c>
      <c r="D153" s="34" t="inlineStr">
        <is>
          <t>Princeton University</t>
        </is>
      </c>
      <c r="E153" s="34" t="inlineStr">
        <is>
          <t>Psychology</t>
        </is>
      </c>
      <c r="F153" s="35" t="inlineStr">
        <is>
          <t>High</t>
        </is>
      </c>
      <c r="G153" s="35" t="inlineStr">
        <is>
          <t>High</t>
        </is>
      </c>
      <c r="H153" s="34" t="inlineStr">
        <is>
          <t>kn7015@princeton.edu</t>
        </is>
      </c>
      <c r="I153" s="34" t="inlineStr">
        <is>
          <t>2026-04-02</t>
        </is>
      </c>
      <c r="J153" s="34" t="n"/>
      <c r="K153" s="34" t="inlineStr">
        <is>
          <t>NO</t>
        </is>
      </c>
      <c r="L153" s="36" t="inlineStr">
        <is>
          <t>New Lead</t>
        </is>
      </c>
      <c r="M153" s="34" t="n"/>
      <c r="N153" s="34" t="n"/>
      <c r="O153" s="34" t="n"/>
      <c r="P153" s="34" t="n">
        <v>2500</v>
      </c>
      <c r="Q153" s="34" t="n">
        <v>0</v>
      </c>
      <c r="R153" s="37">
        <f>IF(J153="","",TODAY()-DATE(LEFT(J153,4)*1,MID(J153,6,2)*1,RIGHT(J153,2)*1))</f>
        <v/>
      </c>
    </row>
    <row r="154" ht="18" customHeight="1" s="31">
      <c r="A154" s="38" t="n">
        <v>152</v>
      </c>
      <c r="B154" s="38" t="inlineStr">
        <is>
          <t>James</t>
        </is>
      </c>
      <c r="C154" s="38" t="inlineStr">
        <is>
          <t>Packman</t>
        </is>
      </c>
      <c r="D154" s="38" t="inlineStr">
        <is>
          <t>Princeton University</t>
        </is>
      </c>
      <c r="E154" s="38" t="inlineStr">
        <is>
          <t>Psychology</t>
        </is>
      </c>
      <c r="F154" s="35" t="inlineStr">
        <is>
          <t>High</t>
        </is>
      </c>
      <c r="G154" s="35" t="inlineStr">
        <is>
          <t>High</t>
        </is>
      </c>
      <c r="H154" s="38" t="inlineStr">
        <is>
          <t>packman@princeton.edu</t>
        </is>
      </c>
      <c r="I154" s="38" t="inlineStr">
        <is>
          <t>2026-04-02</t>
        </is>
      </c>
      <c r="J154" s="38" t="n"/>
      <c r="K154" s="38" t="inlineStr">
        <is>
          <t>NO</t>
        </is>
      </c>
      <c r="L154" s="39" t="inlineStr">
        <is>
          <t>New Lead</t>
        </is>
      </c>
      <c r="M154" s="38" t="n"/>
      <c r="N154" s="38" t="n"/>
      <c r="O154" s="38" t="n"/>
      <c r="P154" s="38" t="n">
        <v>2500</v>
      </c>
      <c r="Q154" s="38" t="n">
        <v>0</v>
      </c>
      <c r="R154" s="40">
        <f>IF(J154="","",TODAY()-DATE(LEFT(J154,4)*1,MID(J154,6,2)*1,RIGHT(J154,2)*1))</f>
        <v/>
      </c>
    </row>
    <row r="155" ht="18" customHeight="1" s="31">
      <c r="A155" s="34" t="n">
        <v>153</v>
      </c>
      <c r="B155" s="34" t="inlineStr">
        <is>
          <t>Madeline</t>
        </is>
      </c>
      <c r="C155" s="34" t="inlineStr">
        <is>
          <t>Paxson</t>
        </is>
      </c>
      <c r="D155" s="34" t="inlineStr">
        <is>
          <t>Princeton University</t>
        </is>
      </c>
      <c r="E155" s="34" t="inlineStr">
        <is>
          <t>Psychology</t>
        </is>
      </c>
      <c r="F155" s="35" t="inlineStr">
        <is>
          <t>High</t>
        </is>
      </c>
      <c r="G155" s="35" t="inlineStr">
        <is>
          <t>High</t>
        </is>
      </c>
      <c r="H155" s="34" t="inlineStr">
        <is>
          <t>madpax@princeton.edu</t>
        </is>
      </c>
      <c r="I155" s="34" t="inlineStr">
        <is>
          <t>2026-04-02</t>
        </is>
      </c>
      <c r="J155" s="34" t="n"/>
      <c r="K155" s="34" t="inlineStr">
        <is>
          <t>NO</t>
        </is>
      </c>
      <c r="L155" s="36" t="inlineStr">
        <is>
          <t>New Lead</t>
        </is>
      </c>
      <c r="M155" s="34" t="n"/>
      <c r="N155" s="34" t="n"/>
      <c r="O155" s="34" t="n"/>
      <c r="P155" s="34" t="n">
        <v>2500</v>
      </c>
      <c r="Q155" s="34" t="n">
        <v>0</v>
      </c>
      <c r="R155" s="37">
        <f>IF(J155="","",TODAY()-DATE(LEFT(J155,4)*1,MID(J155,6,2)*1,RIGHT(J155,2)*1))</f>
        <v/>
      </c>
    </row>
    <row r="156" ht="18" customHeight="1" s="31">
      <c r="A156" s="38" t="n">
        <v>154</v>
      </c>
      <c r="B156" s="38" t="inlineStr">
        <is>
          <t>Brooke</t>
        </is>
      </c>
      <c r="C156" s="38" t="inlineStr">
        <is>
          <t>Ryan</t>
        </is>
      </c>
      <c r="D156" s="38" t="inlineStr">
        <is>
          <t>Princeton University</t>
        </is>
      </c>
      <c r="E156" s="38" t="inlineStr">
        <is>
          <t>Psychology</t>
        </is>
      </c>
      <c r="F156" s="35" t="inlineStr">
        <is>
          <t>High</t>
        </is>
      </c>
      <c r="G156" s="35" t="inlineStr">
        <is>
          <t>High</t>
        </is>
      </c>
      <c r="H156" s="38" t="inlineStr">
        <is>
          <t>brooke.ryan@princeton.edu</t>
        </is>
      </c>
      <c r="I156" s="38" t="inlineStr">
        <is>
          <t>2026-04-02</t>
        </is>
      </c>
      <c r="J156" s="38" t="n"/>
      <c r="K156" s="38" t="inlineStr">
        <is>
          <t>NO</t>
        </is>
      </c>
      <c r="L156" s="39" t="inlineStr">
        <is>
          <t>New Lead</t>
        </is>
      </c>
      <c r="M156" s="38" t="n"/>
      <c r="N156" s="38" t="n"/>
      <c r="O156" s="38" t="n"/>
      <c r="P156" s="38" t="n">
        <v>2500</v>
      </c>
      <c r="Q156" s="38" t="n">
        <v>0</v>
      </c>
      <c r="R156" s="40">
        <f>IF(J156="","",TODAY()-DATE(LEFT(J156,4)*1,MID(J156,6,2)*1,RIGHT(J156,2)*1))</f>
        <v/>
      </c>
    </row>
    <row r="157" ht="18" customHeight="1" s="31">
      <c r="A157" s="34" t="n">
        <v>155</v>
      </c>
      <c r="B157" s="34" t="inlineStr">
        <is>
          <t>Bianca</t>
        </is>
      </c>
      <c r="C157" s="34" t="inlineStr">
        <is>
          <t>Santi</t>
        </is>
      </c>
      <c r="D157" s="34" t="inlineStr">
        <is>
          <t>Princeton University</t>
        </is>
      </c>
      <c r="E157" s="34" t="inlineStr">
        <is>
          <t>Psychology</t>
        </is>
      </c>
      <c r="F157" s="35" t="inlineStr">
        <is>
          <t>High</t>
        </is>
      </c>
      <c r="G157" s="35" t="inlineStr">
        <is>
          <t>High</t>
        </is>
      </c>
      <c r="H157" s="34" t="inlineStr">
        <is>
          <t>bianca.santi@princeton.edu</t>
        </is>
      </c>
      <c r="I157" s="34" t="inlineStr">
        <is>
          <t>2026-04-02</t>
        </is>
      </c>
      <c r="J157" s="34" t="n"/>
      <c r="K157" s="34" t="inlineStr">
        <is>
          <t>NO</t>
        </is>
      </c>
      <c r="L157" s="36" t="inlineStr">
        <is>
          <t>New Lead</t>
        </is>
      </c>
      <c r="M157" s="34" t="n"/>
      <c r="N157" s="34" t="n"/>
      <c r="O157" s="34" t="n"/>
      <c r="P157" s="34" t="n">
        <v>2500</v>
      </c>
      <c r="Q157" s="34" t="n">
        <v>0</v>
      </c>
      <c r="R157" s="37">
        <f>IF(J157="","",TODAY()-DATE(LEFT(J157,4)*1,MID(J157,6,2)*1,RIGHT(J157,2)*1))</f>
        <v/>
      </c>
    </row>
    <row r="158" ht="18" customHeight="1" s="31">
      <c r="A158" s="38" t="n">
        <v>156</v>
      </c>
      <c r="B158" s="38" t="inlineStr">
        <is>
          <t>Emmy</t>
        </is>
      </c>
      <c r="C158" s="38" t="inlineStr">
        <is>
          <t>Shi</t>
        </is>
      </c>
      <c r="D158" s="38" t="inlineStr">
        <is>
          <t>Princeton University</t>
        </is>
      </c>
      <c r="E158" s="38" t="inlineStr">
        <is>
          <t>Psychology</t>
        </is>
      </c>
      <c r="F158" s="35" t="inlineStr">
        <is>
          <t>High</t>
        </is>
      </c>
      <c r="G158" s="35" t="inlineStr">
        <is>
          <t>High</t>
        </is>
      </c>
      <c r="H158" s="38" t="inlineStr">
        <is>
          <t>es2277@princeton.edu</t>
        </is>
      </c>
      <c r="I158" s="38" t="inlineStr">
        <is>
          <t>2026-04-02</t>
        </is>
      </c>
      <c r="J158" s="38" t="n"/>
      <c r="K158" s="38" t="inlineStr">
        <is>
          <t>NO</t>
        </is>
      </c>
      <c r="L158" s="39" t="inlineStr">
        <is>
          <t>New Lead</t>
        </is>
      </c>
      <c r="M158" s="38" t="n"/>
      <c r="N158" s="38" t="n"/>
      <c r="O158" s="38" t="n"/>
      <c r="P158" s="38" t="n">
        <v>2500</v>
      </c>
      <c r="Q158" s="38" t="n">
        <v>0</v>
      </c>
      <c r="R158" s="40">
        <f>IF(J158="","",TODAY()-DATE(LEFT(J158,4)*1,MID(J158,6,2)*1,RIGHT(J158,2)*1))</f>
        <v/>
      </c>
    </row>
    <row r="159" ht="18" customHeight="1" s="31">
      <c r="A159" s="34" t="n">
        <v>157</v>
      </c>
      <c r="B159" s="34" t="inlineStr">
        <is>
          <t>Younes</t>
        </is>
      </c>
      <c r="C159" s="34" t="inlineStr">
        <is>
          <t>Strittmatter</t>
        </is>
      </c>
      <c r="D159" s="34" t="inlineStr">
        <is>
          <t>Princeton University</t>
        </is>
      </c>
      <c r="E159" s="34" t="inlineStr">
        <is>
          <t>Psychology</t>
        </is>
      </c>
      <c r="F159" s="35" t="inlineStr">
        <is>
          <t>High</t>
        </is>
      </c>
      <c r="G159" s="35" t="inlineStr">
        <is>
          <t>High</t>
        </is>
      </c>
      <c r="H159" s="34" t="inlineStr">
        <is>
          <t>ys5852@princeton.edu</t>
        </is>
      </c>
      <c r="I159" s="34" t="inlineStr">
        <is>
          <t>2026-04-02</t>
        </is>
      </c>
      <c r="J159" s="34" t="n"/>
      <c r="K159" s="34" t="inlineStr">
        <is>
          <t>NO</t>
        </is>
      </c>
      <c r="L159" s="36" t="inlineStr">
        <is>
          <t>New Lead</t>
        </is>
      </c>
      <c r="M159" s="34" t="n"/>
      <c r="N159" s="34" t="n"/>
      <c r="O159" s="34" t="n"/>
      <c r="P159" s="34" t="n">
        <v>2500</v>
      </c>
      <c r="Q159" s="34" t="n">
        <v>0</v>
      </c>
      <c r="R159" s="37">
        <f>IF(J159="","",TODAY()-DATE(LEFT(J159,4)*1,MID(J159,6,2)*1,RIGHT(J159,2)*1))</f>
        <v/>
      </c>
    </row>
    <row r="160" ht="18" customHeight="1" s="31">
      <c r="A160" s="38" t="n">
        <v>158</v>
      </c>
      <c r="B160" s="38" t="inlineStr">
        <is>
          <t>Emery</t>
        </is>
      </c>
      <c r="C160" s="38" t="inlineStr">
        <is>
          <t>Thul</t>
        </is>
      </c>
      <c r="D160" s="38" t="inlineStr">
        <is>
          <t>Princeton University</t>
        </is>
      </c>
      <c r="E160" s="38" t="inlineStr">
        <is>
          <t>Psychology</t>
        </is>
      </c>
      <c r="F160" s="35" t="inlineStr">
        <is>
          <t>High</t>
        </is>
      </c>
      <c r="G160" s="35" t="inlineStr">
        <is>
          <t>High</t>
        </is>
      </c>
      <c r="H160" s="38" t="inlineStr">
        <is>
          <t>emery.thul@princeton.edu</t>
        </is>
      </c>
      <c r="I160" s="38" t="inlineStr">
        <is>
          <t>2026-04-02</t>
        </is>
      </c>
      <c r="J160" s="38" t="n"/>
      <c r="K160" s="38" t="inlineStr">
        <is>
          <t>NO</t>
        </is>
      </c>
      <c r="L160" s="39" t="inlineStr">
        <is>
          <t>New Lead</t>
        </is>
      </c>
      <c r="M160" s="38" t="n"/>
      <c r="N160" s="38" t="n"/>
      <c r="O160" s="38" t="n"/>
      <c r="P160" s="38" t="n">
        <v>2500</v>
      </c>
      <c r="Q160" s="38" t="n">
        <v>0</v>
      </c>
      <c r="R160" s="40">
        <f>IF(J160="","",TODAY()-DATE(LEFT(J160,4)*1,MID(J160,6,2)*1,RIGHT(J160,2)*1))</f>
        <v/>
      </c>
    </row>
    <row r="161" ht="18" customHeight="1" s="31">
      <c r="A161" s="34" t="n">
        <v>159</v>
      </c>
      <c r="B161" s="34" t="inlineStr">
        <is>
          <t>Chantal</t>
        </is>
      </c>
      <c r="C161" s="34" t="inlineStr">
        <is>
          <t>Valdivia</t>
        </is>
      </c>
      <c r="D161" s="34" t="inlineStr">
        <is>
          <t>Princeton University</t>
        </is>
      </c>
      <c r="E161" s="34" t="inlineStr">
        <is>
          <t>Psychology</t>
        </is>
      </c>
      <c r="F161" s="35" t="inlineStr">
        <is>
          <t>High</t>
        </is>
      </c>
      <c r="G161" s="35" t="inlineStr">
        <is>
          <t>High</t>
        </is>
      </c>
      <c r="H161" s="34" t="inlineStr">
        <is>
          <t>cvaldivia@princeton.edu</t>
        </is>
      </c>
      <c r="I161" s="34" t="inlineStr">
        <is>
          <t>2026-04-02</t>
        </is>
      </c>
      <c r="J161" s="34" t="n"/>
      <c r="K161" s="34" t="inlineStr">
        <is>
          <t>NO</t>
        </is>
      </c>
      <c r="L161" s="36" t="inlineStr">
        <is>
          <t>New Lead</t>
        </is>
      </c>
      <c r="M161" s="34" t="n"/>
      <c r="N161" s="34" t="n"/>
      <c r="O161" s="34" t="n"/>
      <c r="P161" s="34" t="n">
        <v>2500</v>
      </c>
      <c r="Q161" s="34" t="n">
        <v>0</v>
      </c>
      <c r="R161" s="37">
        <f>IF(J161="","",TODAY()-DATE(LEFT(J161,4)*1,MID(J161,6,2)*1,RIGHT(J161,2)*1))</f>
        <v/>
      </c>
    </row>
    <row r="162" ht="18" customHeight="1" s="31">
      <c r="A162" s="38" t="n">
        <v>160</v>
      </c>
      <c r="B162" s="38" t="inlineStr">
        <is>
          <t>Henna</t>
        </is>
      </c>
      <c r="C162" s="38" t="inlineStr">
        <is>
          <t>Vartiainen</t>
        </is>
      </c>
      <c r="D162" s="38" t="inlineStr">
        <is>
          <t>Princeton University</t>
        </is>
      </c>
      <c r="E162" s="38" t="inlineStr">
        <is>
          <t>Psychology</t>
        </is>
      </c>
      <c r="F162" s="35" t="inlineStr">
        <is>
          <t>High</t>
        </is>
      </c>
      <c r="G162" s="35" t="inlineStr">
        <is>
          <t>High</t>
        </is>
      </c>
      <c r="H162" s="38" t="inlineStr">
        <is>
          <t>hv4691@princeton.edu</t>
        </is>
      </c>
      <c r="I162" s="38" t="inlineStr">
        <is>
          <t>2026-04-02</t>
        </is>
      </c>
      <c r="J162" s="38" t="n"/>
      <c r="K162" s="38" t="inlineStr">
        <is>
          <t>NO</t>
        </is>
      </c>
      <c r="L162" s="39" t="inlineStr">
        <is>
          <t>New Lead</t>
        </is>
      </c>
      <c r="M162" s="38" t="n"/>
      <c r="N162" s="38" t="n"/>
      <c r="O162" s="38" t="n"/>
      <c r="P162" s="38" t="n">
        <v>2500</v>
      </c>
      <c r="Q162" s="38" t="n">
        <v>0</v>
      </c>
      <c r="R162" s="40">
        <f>IF(J162="","",TODAY()-DATE(LEFT(J162,4)*1,MID(J162,6,2)*1,RIGHT(J162,2)*1))</f>
        <v/>
      </c>
    </row>
    <row r="163" ht="18" customHeight="1" s="31">
      <c r="A163" s="34" t="n">
        <v>161</v>
      </c>
      <c r="B163" s="34" t="inlineStr">
        <is>
          <t>Ken</t>
        </is>
      </c>
      <c r="C163" s="34" t="inlineStr">
        <is>
          <t>Wang</t>
        </is>
      </c>
      <c r="D163" s="34" t="inlineStr">
        <is>
          <t>Princeton University</t>
        </is>
      </c>
      <c r="E163" s="34" t="inlineStr">
        <is>
          <t>Psychology</t>
        </is>
      </c>
      <c r="F163" s="35" t="inlineStr">
        <is>
          <t>High</t>
        </is>
      </c>
      <c r="G163" s="35" t="inlineStr">
        <is>
          <t>High</t>
        </is>
      </c>
      <c r="H163" s="34" t="inlineStr">
        <is>
          <t>kw1166@princeton.edu</t>
        </is>
      </c>
      <c r="I163" s="34" t="inlineStr">
        <is>
          <t>2026-04-02</t>
        </is>
      </c>
      <c r="J163" s="34" t="n"/>
      <c r="K163" s="34" t="inlineStr">
        <is>
          <t>NO</t>
        </is>
      </c>
      <c r="L163" s="36" t="inlineStr">
        <is>
          <t>New Lead</t>
        </is>
      </c>
      <c r="M163" s="34" t="n"/>
      <c r="N163" s="34" t="n"/>
      <c r="O163" s="34" t="n"/>
      <c r="P163" s="34" t="n">
        <v>2500</v>
      </c>
      <c r="Q163" s="34" t="n">
        <v>0</v>
      </c>
      <c r="R163" s="37">
        <f>IF(J163="","",TODAY()-DATE(LEFT(J163,4)*1,MID(J163,6,2)*1,RIGHT(J163,2)*1))</f>
        <v/>
      </c>
    </row>
    <row r="164" ht="18" customHeight="1" s="31">
      <c r="A164" s="38" t="n">
        <v>162</v>
      </c>
      <c r="B164" s="38" t="inlineStr">
        <is>
          <t>Claire</t>
        </is>
      </c>
      <c r="C164" s="38" t="inlineStr">
        <is>
          <t>Whiting</t>
        </is>
      </c>
      <c r="D164" s="38" t="inlineStr">
        <is>
          <t>Princeton University</t>
        </is>
      </c>
      <c r="E164" s="38" t="inlineStr">
        <is>
          <t>Psychology</t>
        </is>
      </c>
      <c r="F164" s="35" t="inlineStr">
        <is>
          <t>High</t>
        </is>
      </c>
      <c r="G164" s="35" t="inlineStr">
        <is>
          <t>High</t>
        </is>
      </c>
      <c r="H164" s="38" t="inlineStr">
        <is>
          <t>claire.whiting@princeton.edu</t>
        </is>
      </c>
      <c r="I164" s="38" t="inlineStr">
        <is>
          <t>2026-04-02</t>
        </is>
      </c>
      <c r="J164" s="38" t="n"/>
      <c r="K164" s="38" t="inlineStr">
        <is>
          <t>NO</t>
        </is>
      </c>
      <c r="L164" s="39" t="inlineStr">
        <is>
          <t>New Lead</t>
        </is>
      </c>
      <c r="M164" s="38" t="n"/>
      <c r="N164" s="38" t="n"/>
      <c r="O164" s="38" t="n"/>
      <c r="P164" s="38" t="n">
        <v>2500</v>
      </c>
      <c r="Q164" s="38" t="n">
        <v>0</v>
      </c>
      <c r="R164" s="40">
        <f>IF(J164="","",TODAY()-DATE(LEFT(J164,4)*1,MID(J164,6,2)*1,RIGHT(J164,2)*1))</f>
        <v/>
      </c>
    </row>
    <row r="165" ht="18" customHeight="1" s="31">
      <c r="A165" s="34" t="n">
        <v>163</v>
      </c>
      <c r="B165" s="34" t="inlineStr">
        <is>
          <t>Zaid</t>
        </is>
      </c>
      <c r="C165" s="34" t="inlineStr">
        <is>
          <t>Zada</t>
        </is>
      </c>
      <c r="D165" s="34" t="inlineStr">
        <is>
          <t>Princeton University</t>
        </is>
      </c>
      <c r="E165" s="34" t="inlineStr">
        <is>
          <t>Psychology</t>
        </is>
      </c>
      <c r="F165" s="35" t="inlineStr">
        <is>
          <t>High</t>
        </is>
      </c>
      <c r="G165" s="35" t="inlineStr">
        <is>
          <t>High</t>
        </is>
      </c>
      <c r="H165" s="34" t="inlineStr">
        <is>
          <t>zaid@princeton.edu</t>
        </is>
      </c>
      <c r="I165" s="34" t="inlineStr">
        <is>
          <t>2026-04-02</t>
        </is>
      </c>
      <c r="J165" s="34" t="n"/>
      <c r="K165" s="34" t="inlineStr">
        <is>
          <t>NO</t>
        </is>
      </c>
      <c r="L165" s="36" t="inlineStr">
        <is>
          <t>New Lead</t>
        </is>
      </c>
      <c r="M165" s="34" t="n"/>
      <c r="N165" s="34" t="n"/>
      <c r="O165" s="34" t="n"/>
      <c r="P165" s="34" t="n">
        <v>2500</v>
      </c>
      <c r="Q165" s="34" t="n">
        <v>0</v>
      </c>
      <c r="R165" s="37">
        <f>IF(J165="","",TODAY()-DATE(LEFT(J165,4)*1,MID(J165,6,2)*1,RIGHT(J165,2)*1))</f>
        <v/>
      </c>
    </row>
    <row r="166" ht="18" customHeight="1" s="31">
      <c r="A166" s="38" t="n">
        <v>164</v>
      </c>
      <c r="B166" s="38" t="inlineStr">
        <is>
          <t>Yoonseo</t>
        </is>
      </c>
      <c r="C166" s="38" t="inlineStr">
        <is>
          <t>Zoh</t>
        </is>
      </c>
      <c r="D166" s="38" t="inlineStr">
        <is>
          <t>Princeton University</t>
        </is>
      </c>
      <c r="E166" s="38" t="inlineStr">
        <is>
          <t>Psychology</t>
        </is>
      </c>
      <c r="F166" s="35" t="inlineStr">
        <is>
          <t>High</t>
        </is>
      </c>
      <c r="G166" s="35" t="inlineStr">
        <is>
          <t>High</t>
        </is>
      </c>
      <c r="H166" s="38" t="inlineStr">
        <is>
          <t>yoonseo.zoh@princeton.edu</t>
        </is>
      </c>
      <c r="I166" s="38" t="inlineStr">
        <is>
          <t>2026-04-02</t>
        </is>
      </c>
      <c r="J166" s="38" t="n"/>
      <c r="K166" s="38" t="inlineStr">
        <is>
          <t>NO</t>
        </is>
      </c>
      <c r="L166" s="39" t="inlineStr">
        <is>
          <t>New Lead</t>
        </is>
      </c>
      <c r="M166" s="38" t="n"/>
      <c r="N166" s="38" t="n"/>
      <c r="O166" s="38" t="n"/>
      <c r="P166" s="38" t="n">
        <v>2500</v>
      </c>
      <c r="Q166" s="38" t="n">
        <v>0</v>
      </c>
      <c r="R166" s="40">
        <f>IF(J166="","",TODAY()-DATE(LEFT(J166,4)*1,MID(J166,6,2)*1,RIGHT(J166,2)*1))</f>
        <v/>
      </c>
    </row>
    <row r="167" ht="18" customHeight="1" s="31">
      <c r="A167" s="34" t="n">
        <v>165</v>
      </c>
      <c r="B167" s="34" t="inlineStr">
        <is>
          <t>Sarah</t>
        </is>
      </c>
      <c r="C167" s="34" t="inlineStr">
        <is>
          <t>Ahmadi</t>
        </is>
      </c>
      <c r="D167" s="34" t="inlineStr">
        <is>
          <t>University of Connecticut</t>
        </is>
      </c>
      <c r="E167" s="34" t="inlineStr">
        <is>
          <t>Clinical Psychology</t>
        </is>
      </c>
      <c r="F167" s="35" t="inlineStr">
        <is>
          <t>High</t>
        </is>
      </c>
      <c r="G167" s="35" t="inlineStr">
        <is>
          <t>High</t>
        </is>
      </c>
      <c r="H167" s="34" t="inlineStr">
        <is>
          <t>sarah.ahmadi@uconn.edu</t>
        </is>
      </c>
      <c r="I167" s="34" t="inlineStr">
        <is>
          <t>2026-04-02</t>
        </is>
      </c>
      <c r="J167" s="34" t="n"/>
      <c r="K167" s="34" t="inlineStr">
        <is>
          <t>NO</t>
        </is>
      </c>
      <c r="L167" s="36" t="inlineStr">
        <is>
          <t>New Lead</t>
        </is>
      </c>
      <c r="M167" s="34" t="n"/>
      <c r="N167" s="34" t="n"/>
      <c r="O167" s="34" t="n"/>
      <c r="P167" s="34" t="n">
        <v>2500</v>
      </c>
      <c r="Q167" s="34" t="n">
        <v>0</v>
      </c>
      <c r="R167" s="37">
        <f>IF(J167="","",TODAY()-DATE(LEFT(J167,4)*1,MID(J167,6,2)*1,RIGHT(J167,2)*1))</f>
        <v/>
      </c>
    </row>
    <row r="168" ht="18" customHeight="1" s="31">
      <c r="A168" s="38" t="n">
        <v>166</v>
      </c>
      <c r="B168" s="38" t="inlineStr">
        <is>
          <t>Laila</t>
        </is>
      </c>
      <c r="C168" s="38" t="inlineStr">
        <is>
          <t>Almotwaly</t>
        </is>
      </c>
      <c r="D168" s="38" t="inlineStr">
        <is>
          <t>University of Connecticut</t>
        </is>
      </c>
      <c r="E168" s="38" t="inlineStr">
        <is>
          <t>BNS</t>
        </is>
      </c>
      <c r="F168" s="41" t="inlineStr">
        <is>
          <t>Medium</t>
        </is>
      </c>
      <c r="G168" s="41" t="inlineStr">
        <is>
          <t>Medium</t>
        </is>
      </c>
      <c r="H168" s="38" t="inlineStr">
        <is>
          <t>laila.almotwaly@uconn.edu</t>
        </is>
      </c>
      <c r="I168" s="38" t="inlineStr">
        <is>
          <t>2026-04-02</t>
        </is>
      </c>
      <c r="J168" s="38" t="n"/>
      <c r="K168" s="38" t="inlineStr">
        <is>
          <t>NO</t>
        </is>
      </c>
      <c r="L168" s="39" t="inlineStr">
        <is>
          <t>New Lead</t>
        </is>
      </c>
      <c r="M168" s="38" t="n"/>
      <c r="N168" s="38" t="n"/>
      <c r="O168" s="38" t="n"/>
      <c r="P168" s="38" t="n">
        <v>2500</v>
      </c>
      <c r="Q168" s="38" t="n">
        <v>0</v>
      </c>
      <c r="R168" s="40">
        <f>IF(J168="","",TODAY()-DATE(LEFT(J168,4)*1,MID(J168,6,2)*1,RIGHT(J168,2)*1))</f>
        <v/>
      </c>
    </row>
    <row r="169" ht="18" customHeight="1" s="31">
      <c r="A169" s="34" t="n">
        <v>167</v>
      </c>
      <c r="B169" s="34" t="inlineStr">
        <is>
          <t>Olivia</t>
        </is>
      </c>
      <c r="C169" s="34" t="inlineStr">
        <is>
          <t>Baker</t>
        </is>
      </c>
      <c r="D169" s="34" t="inlineStr">
        <is>
          <t>University of Connecticut</t>
        </is>
      </c>
      <c r="E169" s="34" t="inlineStr">
        <is>
          <t>Clinical Psychology</t>
        </is>
      </c>
      <c r="F169" s="35" t="inlineStr">
        <is>
          <t>High</t>
        </is>
      </c>
      <c r="G169" s="35" t="inlineStr">
        <is>
          <t>High</t>
        </is>
      </c>
      <c r="H169" s="34" t="inlineStr">
        <is>
          <t>olivia.baker@uconn.edu</t>
        </is>
      </c>
      <c r="I169" s="34" t="inlineStr">
        <is>
          <t>2026-04-02</t>
        </is>
      </c>
      <c r="J169" s="34" t="n"/>
      <c r="K169" s="34" t="inlineStr">
        <is>
          <t>NO</t>
        </is>
      </c>
      <c r="L169" s="36" t="inlineStr">
        <is>
          <t>New Lead</t>
        </is>
      </c>
      <c r="M169" s="34" t="n"/>
      <c r="N169" s="34" t="n"/>
      <c r="O169" s="34" t="n"/>
      <c r="P169" s="34" t="n">
        <v>2500</v>
      </c>
      <c r="Q169" s="34" t="n">
        <v>0</v>
      </c>
      <c r="R169" s="37">
        <f>IF(J169="","",TODAY()-DATE(LEFT(J169,4)*1,MID(J169,6,2)*1,RIGHT(J169,2)*1))</f>
        <v/>
      </c>
    </row>
    <row r="170" ht="18" customHeight="1" s="31">
      <c r="A170" s="38" t="n">
        <v>168</v>
      </c>
      <c r="B170" s="38" t="inlineStr">
        <is>
          <t>Anna</t>
        </is>
      </c>
      <c r="C170" s="38" t="inlineStr">
        <is>
          <t>Bankston</t>
        </is>
      </c>
      <c r="D170" s="38" t="inlineStr">
        <is>
          <t>University of Connecticut</t>
        </is>
      </c>
      <c r="E170" s="38" t="inlineStr">
        <is>
          <t>Clinical Psychology</t>
        </is>
      </c>
      <c r="F170" s="35" t="inlineStr">
        <is>
          <t>High</t>
        </is>
      </c>
      <c r="G170" s="35" t="inlineStr">
        <is>
          <t>High</t>
        </is>
      </c>
      <c r="H170" s="38" t="inlineStr">
        <is>
          <t>annacbankston@uconn.edu</t>
        </is>
      </c>
      <c r="I170" s="38" t="inlineStr">
        <is>
          <t>2026-04-02</t>
        </is>
      </c>
      <c r="J170" s="38" t="n"/>
      <c r="K170" s="38" t="inlineStr">
        <is>
          <t>NO</t>
        </is>
      </c>
      <c r="L170" s="39" t="inlineStr">
        <is>
          <t>New Lead</t>
        </is>
      </c>
      <c r="M170" s="38" t="n"/>
      <c r="N170" s="38" t="n"/>
      <c r="O170" s="38" t="n"/>
      <c r="P170" s="38" t="n">
        <v>2500</v>
      </c>
      <c r="Q170" s="38" t="n">
        <v>0</v>
      </c>
      <c r="R170" s="40">
        <f>IF(J170="","",TODAY()-DATE(LEFT(J170,4)*1,MID(J170,6,2)*1,RIGHT(J170,2)*1))</f>
        <v/>
      </c>
    </row>
    <row r="171" ht="18" customHeight="1" s="31">
      <c r="A171" s="34" t="n">
        <v>169</v>
      </c>
      <c r="B171" s="34" t="inlineStr">
        <is>
          <t>Caitlin</t>
        </is>
      </c>
      <c r="C171" s="34" t="inlineStr">
        <is>
          <t>Baten</t>
        </is>
      </c>
      <c r="D171" s="34" t="inlineStr">
        <is>
          <t>University of Connecticut</t>
        </is>
      </c>
      <c r="E171" s="34" t="inlineStr">
        <is>
          <t>Language &amp; Cognition</t>
        </is>
      </c>
      <c r="F171" s="41" t="inlineStr">
        <is>
          <t>Medium</t>
        </is>
      </c>
      <c r="G171" s="41" t="inlineStr">
        <is>
          <t>Medium</t>
        </is>
      </c>
      <c r="H171" s="34" t="inlineStr">
        <is>
          <t>usq25002@uconn.edu</t>
        </is>
      </c>
      <c r="I171" s="34" t="inlineStr">
        <is>
          <t>2026-04-02</t>
        </is>
      </c>
      <c r="J171" s="34" t="n"/>
      <c r="K171" s="34" t="inlineStr">
        <is>
          <t>NO</t>
        </is>
      </c>
      <c r="L171" s="36" t="inlineStr">
        <is>
          <t>New Lead</t>
        </is>
      </c>
      <c r="M171" s="34" t="n"/>
      <c r="N171" s="34" t="n"/>
      <c r="O171" s="34" t="n"/>
      <c r="P171" s="34" t="n">
        <v>2500</v>
      </c>
      <c r="Q171" s="34" t="n">
        <v>0</v>
      </c>
      <c r="R171" s="37">
        <f>IF(J171="","",TODAY()-DATE(LEFT(J171,4)*1,MID(J171,6,2)*1,RIGHT(J171,2)*1))</f>
        <v/>
      </c>
    </row>
    <row r="172" ht="18" customHeight="1" s="31">
      <c r="A172" s="38" t="n">
        <v>170</v>
      </c>
      <c r="B172" s="38" t="inlineStr">
        <is>
          <t>Ethan</t>
        </is>
      </c>
      <c r="C172" s="38" t="inlineStr">
        <is>
          <t>Beri</t>
        </is>
      </c>
      <c r="D172" s="38" t="inlineStr">
        <is>
          <t>University of Connecticut</t>
        </is>
      </c>
      <c r="E172" s="38" t="inlineStr">
        <is>
          <t>BNS</t>
        </is>
      </c>
      <c r="F172" s="41" t="inlineStr">
        <is>
          <t>Medium</t>
        </is>
      </c>
      <c r="G172" s="41" t="inlineStr">
        <is>
          <t>Medium</t>
        </is>
      </c>
      <c r="H172" s="38" t="inlineStr">
        <is>
          <t>ethan.beri@uconn.edu</t>
        </is>
      </c>
      <c r="I172" s="38" t="inlineStr">
        <is>
          <t>2026-04-02</t>
        </is>
      </c>
      <c r="J172" s="38" t="n"/>
      <c r="K172" s="38" t="inlineStr">
        <is>
          <t>NO</t>
        </is>
      </c>
      <c r="L172" s="39" t="inlineStr">
        <is>
          <t>New Lead</t>
        </is>
      </c>
      <c r="M172" s="38" t="n"/>
      <c r="N172" s="38" t="n"/>
      <c r="O172" s="38" t="n"/>
      <c r="P172" s="38" t="n">
        <v>2500</v>
      </c>
      <c r="Q172" s="38" t="n">
        <v>0</v>
      </c>
      <c r="R172" s="40">
        <f>IF(J172="","",TODAY()-DATE(LEFT(J172,4)*1,MID(J172,6,2)*1,RIGHT(J172,2)*1))</f>
        <v/>
      </c>
    </row>
    <row r="173" ht="18" customHeight="1" s="31">
      <c r="A173" s="34" t="n">
        <v>171</v>
      </c>
      <c r="B173" s="34" t="inlineStr">
        <is>
          <t>Sonata</t>
        </is>
      </c>
      <c r="C173" s="34" t="inlineStr">
        <is>
          <t>Black</t>
        </is>
      </c>
      <c r="D173" s="34" t="inlineStr">
        <is>
          <t>University of Connecticut</t>
        </is>
      </c>
      <c r="E173" s="34" t="inlineStr">
        <is>
          <t>Industrial &amp; Organizational Psychology</t>
        </is>
      </c>
      <c r="F173" s="35" t="inlineStr">
        <is>
          <t>High</t>
        </is>
      </c>
      <c r="G173" s="35" t="inlineStr">
        <is>
          <t>High</t>
        </is>
      </c>
      <c r="H173" s="34" t="inlineStr">
        <is>
          <t>sonata.black@uconn.edu</t>
        </is>
      </c>
      <c r="I173" s="34" t="inlineStr">
        <is>
          <t>2026-04-02</t>
        </is>
      </c>
      <c r="J173" s="34" t="n"/>
      <c r="K173" s="34" t="inlineStr">
        <is>
          <t>NO</t>
        </is>
      </c>
      <c r="L173" s="36" t="inlineStr">
        <is>
          <t>New Lead</t>
        </is>
      </c>
      <c r="M173" s="34" t="n"/>
      <c r="N173" s="34" t="n"/>
      <c r="O173" s="34" t="n"/>
      <c r="P173" s="34" t="n">
        <v>2500</v>
      </c>
      <c r="Q173" s="34" t="n">
        <v>0</v>
      </c>
      <c r="R173" s="37">
        <f>IF(J173="","",TODAY()-DATE(LEFT(J173,4)*1,MID(J173,6,2)*1,RIGHT(J173,2)*1))</f>
        <v/>
      </c>
    </row>
    <row r="174" ht="18" customHeight="1" s="31">
      <c r="A174" s="38" t="n">
        <v>172</v>
      </c>
      <c r="B174" s="38" t="inlineStr">
        <is>
          <t>Lillian</t>
        </is>
      </c>
      <c r="C174" s="38" t="inlineStr">
        <is>
          <t>Blanchard</t>
        </is>
      </c>
      <c r="D174" s="38" t="inlineStr">
        <is>
          <t>University of Connecticut</t>
        </is>
      </c>
      <c r="E174" s="38" t="inlineStr">
        <is>
          <t>Clinical Psychology</t>
        </is>
      </c>
      <c r="F174" s="35" t="inlineStr">
        <is>
          <t>High</t>
        </is>
      </c>
      <c r="G174" s="35" t="inlineStr">
        <is>
          <t>High</t>
        </is>
      </c>
      <c r="H174" s="38" t="inlineStr">
        <is>
          <t>lillian.blanchard@uconn.edu</t>
        </is>
      </c>
      <c r="I174" s="38" t="inlineStr">
        <is>
          <t>2026-04-02</t>
        </is>
      </c>
      <c r="J174" s="38" t="n"/>
      <c r="K174" s="38" t="inlineStr">
        <is>
          <t>NO</t>
        </is>
      </c>
      <c r="L174" s="39" t="inlineStr">
        <is>
          <t>New Lead</t>
        </is>
      </c>
      <c r="M174" s="38" t="n"/>
      <c r="N174" s="38" t="n"/>
      <c r="O174" s="38" t="n"/>
      <c r="P174" s="38" t="n">
        <v>2500</v>
      </c>
      <c r="Q174" s="38" t="n">
        <v>0</v>
      </c>
      <c r="R174" s="40">
        <f>IF(J174="","",TODAY()-DATE(LEFT(J174,4)*1,MID(J174,6,2)*1,RIGHT(J174,2)*1))</f>
        <v/>
      </c>
    </row>
    <row r="175" ht="18" customHeight="1" s="31">
      <c r="A175" s="34" t="n">
        <v>173</v>
      </c>
      <c r="B175" s="34" t="inlineStr">
        <is>
          <t>Felicia</t>
        </is>
      </c>
      <c r="C175" s="34" t="inlineStr">
        <is>
          <t>Blodgett-Duran</t>
        </is>
      </c>
      <c r="D175" s="34" t="inlineStr">
        <is>
          <t>University of Connecticut</t>
        </is>
      </c>
      <c r="E175" s="34" t="inlineStr">
        <is>
          <t>Industrial &amp; Organizational Psychology</t>
        </is>
      </c>
      <c r="F175" s="35" t="inlineStr">
        <is>
          <t>High</t>
        </is>
      </c>
      <c r="G175" s="35" t="inlineStr">
        <is>
          <t>High</t>
        </is>
      </c>
      <c r="H175" s="34" t="inlineStr">
        <is>
          <t>ala24004@uconn.edu</t>
        </is>
      </c>
      <c r="I175" s="34" t="inlineStr">
        <is>
          <t>2026-04-02</t>
        </is>
      </c>
      <c r="J175" s="34" t="n"/>
      <c r="K175" s="34" t="inlineStr">
        <is>
          <t>NO</t>
        </is>
      </c>
      <c r="L175" s="36" t="inlineStr">
        <is>
          <t>New Lead</t>
        </is>
      </c>
      <c r="M175" s="34" t="n"/>
      <c r="N175" s="34" t="n"/>
      <c r="O175" s="34" t="n"/>
      <c r="P175" s="34" t="n">
        <v>2500</v>
      </c>
      <c r="Q175" s="34" t="n">
        <v>0</v>
      </c>
      <c r="R175" s="37">
        <f>IF(J175="","",TODAY()-DATE(LEFT(J175,4)*1,MID(J175,6,2)*1,RIGHT(J175,2)*1))</f>
        <v/>
      </c>
    </row>
    <row r="176" ht="18" customHeight="1" s="31">
      <c r="A176" s="38" t="n">
        <v>174</v>
      </c>
      <c r="B176" s="38" t="inlineStr">
        <is>
          <t>Maria</t>
        </is>
      </c>
      <c r="C176" s="38" t="inlineStr">
        <is>
          <t>Boada</t>
        </is>
      </c>
      <c r="D176" s="38" t="inlineStr">
        <is>
          <t>University of Connecticut</t>
        </is>
      </c>
      <c r="E176" s="38" t="inlineStr">
        <is>
          <t>Social Psychology</t>
        </is>
      </c>
      <c r="F176" s="35" t="inlineStr">
        <is>
          <t>High</t>
        </is>
      </c>
      <c r="G176" s="35" t="inlineStr">
        <is>
          <t>High</t>
        </is>
      </c>
      <c r="H176" s="38" t="inlineStr">
        <is>
          <t>ixx25001@uconn.edu</t>
        </is>
      </c>
      <c r="I176" s="38" t="inlineStr">
        <is>
          <t>2026-04-02</t>
        </is>
      </c>
      <c r="J176" s="38" t="n"/>
      <c r="K176" s="38" t="inlineStr">
        <is>
          <t>NO</t>
        </is>
      </c>
      <c r="L176" s="39" t="inlineStr">
        <is>
          <t>New Lead</t>
        </is>
      </c>
      <c r="M176" s="38" t="n"/>
      <c r="N176" s="38" t="n"/>
      <c r="O176" s="38" t="n"/>
      <c r="P176" s="38" t="n">
        <v>2500</v>
      </c>
      <c r="Q176" s="38" t="n">
        <v>0</v>
      </c>
      <c r="R176" s="40">
        <f>IF(J176="","",TODAY()-DATE(LEFT(J176,4)*1,MID(J176,6,2)*1,RIGHT(J176,2)*1))</f>
        <v/>
      </c>
    </row>
    <row r="177" ht="18" customHeight="1" s="31">
      <c r="A177" s="34" t="n">
        <v>175</v>
      </c>
      <c r="B177" s="34" t="inlineStr">
        <is>
          <t>Tesnim</t>
        </is>
      </c>
      <c r="C177" s="34" t="inlineStr">
        <is>
          <t>Arar</t>
        </is>
      </c>
      <c r="D177" s="34" t="inlineStr">
        <is>
          <t>University of Chicago</t>
        </is>
      </c>
      <c r="E177" s="34" t="inlineStr">
        <is>
          <t>Cognition</t>
        </is>
      </c>
      <c r="F177" s="41" t="inlineStr">
        <is>
          <t>Medium</t>
        </is>
      </c>
      <c r="G177" s="41" t="inlineStr">
        <is>
          <t>Medium</t>
        </is>
      </c>
      <c r="H177" s="34" t="inlineStr">
        <is>
          <t>tesnimarar@uchicago.edu</t>
        </is>
      </c>
      <c r="I177" s="34" t="inlineStr">
        <is>
          <t>2026-04-02</t>
        </is>
      </c>
      <c r="J177" s="34" t="n"/>
      <c r="K177" s="34" t="inlineStr">
        <is>
          <t>NO</t>
        </is>
      </c>
      <c r="L177" s="36" t="inlineStr">
        <is>
          <t>New Lead</t>
        </is>
      </c>
      <c r="M177" s="34" t="n"/>
      <c r="N177" s="34" t="n"/>
      <c r="O177" s="34" t="n"/>
      <c r="P177" s="34" t="n">
        <v>2500</v>
      </c>
      <c r="Q177" s="34" t="n">
        <v>0</v>
      </c>
      <c r="R177" s="37">
        <f>IF(J177="","",TODAY()-DATE(LEFT(J177,4)*1,MID(J177,6,2)*1,RIGHT(J177,2)*1))</f>
        <v/>
      </c>
    </row>
    <row r="178" ht="18" customHeight="1" s="31">
      <c r="A178" s="38" t="n">
        <v>176</v>
      </c>
      <c r="B178" s="38" t="inlineStr">
        <is>
          <t>Louisa</t>
        </is>
      </c>
      <c r="C178" s="38" t="inlineStr">
        <is>
          <t>Belian</t>
        </is>
      </c>
      <c r="D178" s="38" t="inlineStr">
        <is>
          <t>University of Chicago</t>
        </is>
      </c>
      <c r="E178" s="38" t="inlineStr">
        <is>
          <t>Cognition</t>
        </is>
      </c>
      <c r="F178" s="41" t="inlineStr">
        <is>
          <t>Medium</t>
        </is>
      </c>
      <c r="G178" s="41" t="inlineStr">
        <is>
          <t>Medium</t>
        </is>
      </c>
      <c r="H178" s="38" t="inlineStr">
        <is>
          <t>lbelian@uchicago.edu</t>
        </is>
      </c>
      <c r="I178" s="38" t="inlineStr">
        <is>
          <t>2026-04-02</t>
        </is>
      </c>
      <c r="J178" s="38" t="n"/>
      <c r="K178" s="38" t="inlineStr">
        <is>
          <t>NO</t>
        </is>
      </c>
      <c r="L178" s="39" t="inlineStr">
        <is>
          <t>New Lead</t>
        </is>
      </c>
      <c r="M178" s="38" t="n"/>
      <c r="N178" s="38" t="n"/>
      <c r="O178" s="38" t="n"/>
      <c r="P178" s="38" t="n">
        <v>2500</v>
      </c>
      <c r="Q178" s="38" t="n">
        <v>0</v>
      </c>
      <c r="R178" s="40">
        <f>IF(J178="","",TODAY()-DATE(LEFT(J178,4)*1,MID(J178,6,2)*1,RIGHT(J178,2)*1))</f>
        <v/>
      </c>
    </row>
    <row r="179" ht="18" customHeight="1" s="31">
      <c r="A179" s="34" t="n">
        <v>177</v>
      </c>
      <c r="B179" s="34" t="inlineStr">
        <is>
          <t>Ren</t>
        </is>
      </c>
      <c r="C179" s="34" t="inlineStr">
        <is>
          <t>Calabro</t>
        </is>
      </c>
      <c r="D179" s="34" t="inlineStr">
        <is>
          <t>University of Chicago</t>
        </is>
      </c>
      <c r="E179" s="34" t="inlineStr">
        <is>
          <t>Computational Cognitive Neuroscience</t>
        </is>
      </c>
      <c r="F179" s="41" t="inlineStr">
        <is>
          <t>Medium</t>
        </is>
      </c>
      <c r="G179" s="41" t="inlineStr">
        <is>
          <t>Medium</t>
        </is>
      </c>
      <c r="H179" s="34" t="inlineStr">
        <is>
          <t>rencalabro@uchicago.edu</t>
        </is>
      </c>
      <c r="I179" s="34" t="inlineStr">
        <is>
          <t>2026-04-02</t>
        </is>
      </c>
      <c r="J179" s="34" t="n"/>
      <c r="K179" s="34" t="inlineStr">
        <is>
          <t>NO</t>
        </is>
      </c>
      <c r="L179" s="36" t="inlineStr">
        <is>
          <t>New Lead</t>
        </is>
      </c>
      <c r="M179" s="34" t="n"/>
      <c r="N179" s="34" t="n"/>
      <c r="O179" s="34" t="n"/>
      <c r="P179" s="34" t="n">
        <v>2500</v>
      </c>
      <c r="Q179" s="34" t="n">
        <v>0</v>
      </c>
      <c r="R179" s="37">
        <f>IF(J179="","",TODAY()-DATE(LEFT(J179,4)*1,MID(J179,6,2)*1,RIGHT(J179,2)*1))</f>
        <v/>
      </c>
    </row>
    <row r="180" ht="18" customHeight="1" s="31">
      <c r="A180" s="38" t="n">
        <v>178</v>
      </c>
      <c r="B180" s="38" t="inlineStr">
        <is>
          <t>Qiongwen</t>
        </is>
      </c>
      <c r="C180" s="38" t="inlineStr">
        <is>
          <t>(Jovie) Cao</t>
        </is>
      </c>
      <c r="D180" s="38" t="inlineStr">
        <is>
          <t>University of Chicago</t>
        </is>
      </c>
      <c r="E180" s="38" t="inlineStr">
        <is>
          <t>Integrative Neuroscience</t>
        </is>
      </c>
      <c r="F180" s="41" t="inlineStr">
        <is>
          <t>Medium</t>
        </is>
      </c>
      <c r="G180" s="41" t="inlineStr">
        <is>
          <t>Medium</t>
        </is>
      </c>
      <c r="H180" s="38" t="inlineStr">
        <is>
          <t>qiongwenc@uchicago.edu</t>
        </is>
      </c>
      <c r="I180" s="38" t="inlineStr">
        <is>
          <t>2026-04-02</t>
        </is>
      </c>
      <c r="J180" s="38" t="n"/>
      <c r="K180" s="38" t="inlineStr">
        <is>
          <t>NO</t>
        </is>
      </c>
      <c r="L180" s="39" t="inlineStr">
        <is>
          <t>New Lead</t>
        </is>
      </c>
      <c r="M180" s="38" t="n"/>
      <c r="N180" s="38" t="n"/>
      <c r="O180" s="38" t="n"/>
      <c r="P180" s="38" t="n">
        <v>2500</v>
      </c>
      <c r="Q180" s="38" t="n">
        <v>0</v>
      </c>
      <c r="R180" s="40">
        <f>IF(J180="","",TODAY()-DATE(LEFT(J180,4)*1,MID(J180,6,2)*1,RIGHT(J180,2)*1))</f>
        <v/>
      </c>
    </row>
    <row r="181" ht="18" customHeight="1" s="31">
      <c r="A181" s="34" t="n">
        <v>179</v>
      </c>
      <c r="B181" s="34" t="inlineStr">
        <is>
          <t>Dania</t>
        </is>
      </c>
      <c r="C181" s="34" t="inlineStr">
        <is>
          <t>Carr</t>
        </is>
      </c>
      <c r="D181" s="34" t="inlineStr">
        <is>
          <t>University of Chicago</t>
        </is>
      </c>
      <c r="E181" s="34" t="inlineStr">
        <is>
          <t>Developmental Psychology</t>
        </is>
      </c>
      <c r="F181" s="35" t="inlineStr">
        <is>
          <t>High</t>
        </is>
      </c>
      <c r="G181" s="35" t="inlineStr">
        <is>
          <t>High</t>
        </is>
      </c>
      <c r="H181" s="34" t="inlineStr">
        <is>
          <t>danias@uchicago.edu</t>
        </is>
      </c>
      <c r="I181" s="34" t="inlineStr">
        <is>
          <t>2026-04-02</t>
        </is>
      </c>
      <c r="J181" s="34" t="n"/>
      <c r="K181" s="34" t="inlineStr">
        <is>
          <t>NO</t>
        </is>
      </c>
      <c r="L181" s="36" t="inlineStr">
        <is>
          <t>New Lead</t>
        </is>
      </c>
      <c r="M181" s="34" t="n"/>
      <c r="N181" s="34" t="n"/>
      <c r="O181" s="34" t="n"/>
      <c r="P181" s="34" t="n">
        <v>2500</v>
      </c>
      <c r="Q181" s="34" t="n">
        <v>0</v>
      </c>
      <c r="R181" s="37">
        <f>IF(J181="","",TODAY()-DATE(LEFT(J181,4)*1,MID(J181,6,2)*1,RIGHT(J181,2)*1))</f>
        <v/>
      </c>
    </row>
    <row r="182" ht="18" customHeight="1" s="31">
      <c r="A182" s="38" t="n">
        <v>180</v>
      </c>
      <c r="B182" s="38" t="inlineStr">
        <is>
          <t>Youngjae</t>
        </is>
      </c>
      <c r="C182" s="38" t="inlineStr">
        <is>
          <t>Cha</t>
        </is>
      </c>
      <c r="D182" s="38" t="inlineStr">
        <is>
          <t>University of Chicago</t>
        </is>
      </c>
      <c r="E182" s="38" t="inlineStr">
        <is>
          <t>Social Psychology</t>
        </is>
      </c>
      <c r="F182" s="35" t="inlineStr">
        <is>
          <t>High</t>
        </is>
      </c>
      <c r="G182" s="35" t="inlineStr">
        <is>
          <t>High</t>
        </is>
      </c>
      <c r="H182" s="38" t="inlineStr">
        <is>
          <t>yjcha@uchicago.edu</t>
        </is>
      </c>
      <c r="I182" s="38" t="inlineStr">
        <is>
          <t>2026-04-02</t>
        </is>
      </c>
      <c r="J182" s="38" t="n"/>
      <c r="K182" s="38" t="inlineStr">
        <is>
          <t>NO</t>
        </is>
      </c>
      <c r="L182" s="39" t="inlineStr">
        <is>
          <t>New Lead</t>
        </is>
      </c>
      <c r="M182" s="38" t="n"/>
      <c r="N182" s="38" t="n"/>
      <c r="O182" s="38" t="n"/>
      <c r="P182" s="38" t="n">
        <v>2500</v>
      </c>
      <c r="Q182" s="38" t="n">
        <v>0</v>
      </c>
      <c r="R182" s="40">
        <f>IF(J182="","",TODAY()-DATE(LEFT(J182,4)*1,MID(J182,6,2)*1,RIGHT(J182,2)*1))</f>
        <v/>
      </c>
    </row>
    <row r="183" ht="18" customHeight="1" s="31">
      <c r="A183" s="34" t="n">
        <v>181</v>
      </c>
      <c r="B183" s="34" t="inlineStr">
        <is>
          <t>Woohyeuk</t>
        </is>
      </c>
      <c r="C183" s="34" t="inlineStr">
        <is>
          <t>(Leo) Chang</t>
        </is>
      </c>
      <c r="D183" s="34" t="inlineStr">
        <is>
          <t>University of Chicago</t>
        </is>
      </c>
      <c r="E183" s="34" t="inlineStr">
        <is>
          <t>Computational Cognitive Neuroscience</t>
        </is>
      </c>
      <c r="F183" s="41" t="inlineStr">
        <is>
          <t>Medium</t>
        </is>
      </c>
      <c r="G183" s="41" t="inlineStr">
        <is>
          <t>Medium</t>
        </is>
      </c>
      <c r="H183" s="34" t="inlineStr">
        <is>
          <t>woohyeukchang@uchicago.edu</t>
        </is>
      </c>
      <c r="I183" s="34" t="inlineStr">
        <is>
          <t>2026-04-02</t>
        </is>
      </c>
      <c r="J183" s="34" t="n"/>
      <c r="K183" s="34" t="inlineStr">
        <is>
          <t>NO</t>
        </is>
      </c>
      <c r="L183" s="36" t="inlineStr">
        <is>
          <t>New Lead</t>
        </is>
      </c>
      <c r="M183" s="34" t="n"/>
      <c r="N183" s="34" t="n"/>
      <c r="O183" s="34" t="n"/>
      <c r="P183" s="34" t="n">
        <v>2500</v>
      </c>
      <c r="Q183" s="34" t="n">
        <v>0</v>
      </c>
      <c r="R183" s="37">
        <f>IF(J183="","",TODAY()-DATE(LEFT(J183,4)*1,MID(J183,6,2)*1,RIGHT(J183,2)*1))</f>
        <v/>
      </c>
    </row>
    <row r="184" ht="18" customHeight="1" s="31">
      <c r="A184" s="38" t="n">
        <v>182</v>
      </c>
      <c r="B184" s="38" t="inlineStr">
        <is>
          <t>Alfred</t>
        </is>
      </c>
      <c r="C184" s="38" t="inlineStr">
        <is>
          <t>Chao</t>
        </is>
      </c>
      <c r="D184" s="38" t="inlineStr">
        <is>
          <t>University of Chicago</t>
        </is>
      </c>
      <c r="E184" s="38" t="inlineStr">
        <is>
          <t>Computational Cognitive Neuroscience</t>
        </is>
      </c>
      <c r="F184" s="41" t="inlineStr">
        <is>
          <t>Medium</t>
        </is>
      </c>
      <c r="G184" s="41" t="inlineStr">
        <is>
          <t>Medium</t>
        </is>
      </c>
      <c r="H184" s="38" t="inlineStr">
        <is>
          <t>afchao@uchicago.edu</t>
        </is>
      </c>
      <c r="I184" s="38" t="inlineStr">
        <is>
          <t>2026-04-02</t>
        </is>
      </c>
      <c r="J184" s="38" t="n"/>
      <c r="K184" s="38" t="inlineStr">
        <is>
          <t>NO</t>
        </is>
      </c>
      <c r="L184" s="39" t="inlineStr">
        <is>
          <t>New Lead</t>
        </is>
      </c>
      <c r="M184" s="38" t="n"/>
      <c r="N184" s="38" t="n"/>
      <c r="O184" s="38" t="n"/>
      <c r="P184" s="38" t="n">
        <v>2500</v>
      </c>
      <c r="Q184" s="38" t="n">
        <v>0</v>
      </c>
      <c r="R184" s="40">
        <f>IF(J184="","",TODAY()-DATE(LEFT(J184,4)*1,MID(J184,6,2)*1,RIGHT(J184,2)*1))</f>
        <v/>
      </c>
    </row>
    <row r="185" ht="18" customHeight="1" s="31">
      <c r="A185" s="34" t="n">
        <v>183</v>
      </c>
      <c r="B185" s="34" t="inlineStr">
        <is>
          <t>Huiqin</t>
        </is>
      </c>
      <c r="C185" s="34" t="inlineStr">
        <is>
          <t>Chen</t>
        </is>
      </c>
      <c r="D185" s="34" t="inlineStr">
        <is>
          <t>University of Chicago</t>
        </is>
      </c>
      <c r="E185" s="34" t="inlineStr">
        <is>
          <t>Computational Cognitive Neuroscience</t>
        </is>
      </c>
      <c r="F185" s="41" t="inlineStr">
        <is>
          <t>Medium</t>
        </is>
      </c>
      <c r="G185" s="41" t="inlineStr">
        <is>
          <t>Medium</t>
        </is>
      </c>
      <c r="H185" s="34" t="inlineStr">
        <is>
          <t>huiqinchen@uchicago.edu</t>
        </is>
      </c>
      <c r="I185" s="34" t="inlineStr">
        <is>
          <t>2026-04-02</t>
        </is>
      </c>
      <c r="J185" s="34" t="n"/>
      <c r="K185" s="34" t="inlineStr">
        <is>
          <t>NO</t>
        </is>
      </c>
      <c r="L185" s="36" t="inlineStr">
        <is>
          <t>New Lead</t>
        </is>
      </c>
      <c r="M185" s="34" t="n"/>
      <c r="N185" s="34" t="n"/>
      <c r="O185" s="34" t="n"/>
      <c r="P185" s="34" t="n">
        <v>2500</v>
      </c>
      <c r="Q185" s="34" t="n">
        <v>0</v>
      </c>
      <c r="R185" s="37">
        <f>IF(J185="","",TODAY()-DATE(LEFT(J185,4)*1,MID(J185,6,2)*1,RIGHT(J185,2)*1))</f>
        <v/>
      </c>
    </row>
    <row r="186" ht="18" customHeight="1" s="31">
      <c r="A186" s="38" t="n">
        <v>184</v>
      </c>
      <c r="B186" s="38" t="inlineStr">
        <is>
          <t>Jie</t>
        </is>
      </c>
      <c r="C186" s="38" t="inlineStr">
        <is>
          <t>Chen</t>
        </is>
      </c>
      <c r="D186" s="38" t="inlineStr">
        <is>
          <t>University of Chicago</t>
        </is>
      </c>
      <c r="E186" s="38" t="inlineStr">
        <is>
          <t>Computational Cognitive Neuroscience</t>
        </is>
      </c>
      <c r="F186" s="41" t="inlineStr">
        <is>
          <t>Medium</t>
        </is>
      </c>
      <c r="G186" s="41" t="inlineStr">
        <is>
          <t>Medium</t>
        </is>
      </c>
      <c r="H186" s="38" t="inlineStr">
        <is>
          <t>jchen28@uchicago.edu</t>
        </is>
      </c>
      <c r="I186" s="38" t="inlineStr">
        <is>
          <t>2026-04-02</t>
        </is>
      </c>
      <c r="J186" s="38" t="n"/>
      <c r="K186" s="38" t="inlineStr">
        <is>
          <t>NO</t>
        </is>
      </c>
      <c r="L186" s="39" t="inlineStr">
        <is>
          <t>New Lead</t>
        </is>
      </c>
      <c r="M186" s="38" t="n"/>
      <c r="N186" s="38" t="n"/>
      <c r="O186" s="38" t="n"/>
      <c r="P186" s="38" t="n">
        <v>2500</v>
      </c>
      <c r="Q186" s="38" t="n">
        <v>0</v>
      </c>
      <c r="R186" s="40">
        <f>IF(J186="","",TODAY()-DATE(LEFT(J186,4)*1,MID(J186,6,2)*1,RIGHT(J186,2)*1))</f>
        <v/>
      </c>
    </row>
    <row r="187" ht="18" customHeight="1" s="31">
      <c r="A187" s="34" t="n">
        <v>185</v>
      </c>
      <c r="B187" s="34" t="inlineStr">
        <is>
          <t>Yifei</t>
        </is>
      </c>
      <c r="C187" s="34" t="inlineStr">
        <is>
          <t>(Evie) Chen</t>
        </is>
      </c>
      <c r="D187" s="34" t="inlineStr">
        <is>
          <t>University of Chicago</t>
        </is>
      </c>
      <c r="E187" s="34" t="inlineStr">
        <is>
          <t>Cognition</t>
        </is>
      </c>
      <c r="F187" s="41" t="inlineStr">
        <is>
          <t>Medium</t>
        </is>
      </c>
      <c r="G187" s="41" t="inlineStr">
        <is>
          <t>Medium</t>
        </is>
      </c>
      <c r="H187" s="34" t="inlineStr">
        <is>
          <t>evchen@uchicago.edu</t>
        </is>
      </c>
      <c r="I187" s="34" t="inlineStr">
        <is>
          <t>2026-04-02</t>
        </is>
      </c>
      <c r="J187" s="34" t="n"/>
      <c r="K187" s="34" t="inlineStr">
        <is>
          <t>NO</t>
        </is>
      </c>
      <c r="L187" s="36" t="inlineStr">
        <is>
          <t>New Lead</t>
        </is>
      </c>
      <c r="M187" s="34" t="n"/>
      <c r="N187" s="34" t="n"/>
      <c r="O187" s="34" t="n"/>
      <c r="P187" s="34" t="n">
        <v>2500</v>
      </c>
      <c r="Q187" s="34" t="n">
        <v>0</v>
      </c>
      <c r="R187" s="37">
        <f>IF(J187="","",TODAY()-DATE(LEFT(J187,4)*1,MID(J187,6,2)*1,RIGHT(J187,2)*1))</f>
        <v/>
      </c>
    </row>
    <row r="188" ht="18" customHeight="1" s="31">
      <c r="A188" s="38" t="n">
        <v>186</v>
      </c>
      <c r="B188" s="38" t="inlineStr">
        <is>
          <t>Zeinah</t>
        </is>
      </c>
      <c r="C188" s="38" t="inlineStr">
        <is>
          <t>Al-Darsani</t>
        </is>
      </c>
      <c r="D188" s="38" t="inlineStr">
        <is>
          <t>Temple University</t>
        </is>
      </c>
      <c r="E188" s="38" t="inlineStr">
        <is>
          <t>Public Health</t>
        </is>
      </c>
      <c r="F188" s="35" t="inlineStr">
        <is>
          <t>High</t>
        </is>
      </c>
      <c r="G188" s="35" t="inlineStr">
        <is>
          <t>High</t>
        </is>
      </c>
      <c r="H188" s="38" t="inlineStr">
        <is>
          <t>zeinah.al-darsani@temple.edu</t>
        </is>
      </c>
      <c r="I188" s="38" t="inlineStr">
        <is>
          <t>2026-04-02</t>
        </is>
      </c>
      <c r="J188" s="38" t="n"/>
      <c r="K188" s="38" t="inlineStr">
        <is>
          <t>NO</t>
        </is>
      </c>
      <c r="L188" s="39" t="inlineStr">
        <is>
          <t>New Lead</t>
        </is>
      </c>
      <c r="M188" s="38" t="n"/>
      <c r="N188" s="38" t="n"/>
      <c r="O188" s="38" t="n"/>
      <c r="P188" s="38" t="n">
        <v>2500</v>
      </c>
      <c r="Q188" s="38" t="n">
        <v>0</v>
      </c>
      <c r="R188" s="40">
        <f>IF(J188="","",TODAY()-DATE(LEFT(J188,4)*1,MID(J188,6,2)*1,RIGHT(J188,2)*1))</f>
        <v/>
      </c>
    </row>
    <row r="189" ht="18" customHeight="1" s="31">
      <c r="A189" s="34" t="n">
        <v>187</v>
      </c>
      <c r="B189" s="34" t="inlineStr">
        <is>
          <t>Irene</t>
        </is>
      </c>
      <c r="C189" s="34" t="inlineStr">
        <is>
          <t>Casey</t>
        </is>
      </c>
      <c r="D189" s="34" t="inlineStr">
        <is>
          <t>Temple University</t>
        </is>
      </c>
      <c r="E189" s="34" t="inlineStr">
        <is>
          <t>Public Health</t>
        </is>
      </c>
      <c r="F189" s="35" t="inlineStr">
        <is>
          <t>High</t>
        </is>
      </c>
      <c r="G189" s="35" t="inlineStr">
        <is>
          <t>High</t>
        </is>
      </c>
      <c r="H189" s="34" t="inlineStr">
        <is>
          <t>irene.casey@temple.edu</t>
        </is>
      </c>
      <c r="I189" s="34" t="inlineStr">
        <is>
          <t>2026-04-02</t>
        </is>
      </c>
      <c r="J189" s="34" t="n"/>
      <c r="K189" s="34" t="inlineStr">
        <is>
          <t>NO</t>
        </is>
      </c>
      <c r="L189" s="36" t="inlineStr">
        <is>
          <t>New Lead</t>
        </is>
      </c>
      <c r="M189" s="34" t="n"/>
      <c r="N189" s="34" t="n"/>
      <c r="O189" s="34" t="n"/>
      <c r="P189" s="34" t="n">
        <v>2500</v>
      </c>
      <c r="Q189" s="34" t="n">
        <v>0</v>
      </c>
      <c r="R189" s="37">
        <f>IF(J189="","",TODAY()-DATE(LEFT(J189,4)*1,MID(J189,6,2)*1,RIGHT(J189,2)*1))</f>
        <v/>
      </c>
    </row>
    <row r="190" ht="18" customHeight="1" s="31">
      <c r="A190" s="38" t="n">
        <v>188</v>
      </c>
      <c r="B190" s="38" t="inlineStr">
        <is>
          <t>Emily</t>
        </is>
      </c>
      <c r="C190" s="38" t="inlineStr">
        <is>
          <t>Chung</t>
        </is>
      </c>
      <c r="D190" s="38" t="inlineStr">
        <is>
          <t>Temple University</t>
        </is>
      </c>
      <c r="E190" s="38" t="inlineStr">
        <is>
          <t>Public Health</t>
        </is>
      </c>
      <c r="F190" s="35" t="inlineStr">
        <is>
          <t>High</t>
        </is>
      </c>
      <c r="G190" s="35" t="inlineStr">
        <is>
          <t>High</t>
        </is>
      </c>
      <c r="H190" s="38" t="inlineStr">
        <is>
          <t>emily.y.chung@temple.edu</t>
        </is>
      </c>
      <c r="I190" s="38" t="inlineStr">
        <is>
          <t>2026-04-02</t>
        </is>
      </c>
      <c r="J190" s="38" t="n"/>
      <c r="K190" s="38" t="inlineStr">
        <is>
          <t>NO</t>
        </is>
      </c>
      <c r="L190" s="39" t="inlineStr">
        <is>
          <t>New Lead</t>
        </is>
      </c>
      <c r="M190" s="38" t="n"/>
      <c r="N190" s="38" t="n"/>
      <c r="O190" s="38" t="n"/>
      <c r="P190" s="38" t="n">
        <v>2500</v>
      </c>
      <c r="Q190" s="38" t="n">
        <v>0</v>
      </c>
      <c r="R190" s="40">
        <f>IF(J190="","",TODAY()-DATE(LEFT(J190,4)*1,MID(J190,6,2)*1,RIGHT(J190,2)*1))</f>
        <v/>
      </c>
    </row>
    <row r="191" ht="18" customHeight="1" s="31">
      <c r="A191" s="34" t="n">
        <v>189</v>
      </c>
      <c r="B191" s="34" t="inlineStr">
        <is>
          <t>Lindsay</t>
        </is>
      </c>
      <c r="C191" s="34" t="inlineStr">
        <is>
          <t>Cloud</t>
        </is>
      </c>
      <c r="D191" s="34" t="inlineStr">
        <is>
          <t>Temple University</t>
        </is>
      </c>
      <c r="E191" s="34" t="inlineStr">
        <is>
          <t>Public Health</t>
        </is>
      </c>
      <c r="F191" s="35" t="inlineStr">
        <is>
          <t>High</t>
        </is>
      </c>
      <c r="G191" s="35" t="inlineStr">
        <is>
          <t>High</t>
        </is>
      </c>
      <c r="H191" s="34" t="inlineStr">
        <is>
          <t>lindsay.cloud@temple.edu</t>
        </is>
      </c>
      <c r="I191" s="34" t="inlineStr">
        <is>
          <t>2026-04-02</t>
        </is>
      </c>
      <c r="J191" s="34" t="n"/>
      <c r="K191" s="34" t="inlineStr">
        <is>
          <t>NO</t>
        </is>
      </c>
      <c r="L191" s="36" t="inlineStr">
        <is>
          <t>New Lead</t>
        </is>
      </c>
      <c r="M191" s="34" t="n"/>
      <c r="N191" s="34" t="n"/>
      <c r="O191" s="34" t="n"/>
      <c r="P191" s="34" t="n">
        <v>2500</v>
      </c>
      <c r="Q191" s="34" t="n">
        <v>0</v>
      </c>
      <c r="R191" s="37">
        <f>IF(J191="","",TODAY()-DATE(LEFT(J191,4)*1,MID(J191,6,2)*1,RIGHT(J191,2)*1))</f>
        <v/>
      </c>
    </row>
    <row r="192" ht="18" customHeight="1" s="31">
      <c r="A192" s="38" t="n">
        <v>190</v>
      </c>
      <c r="B192" s="38" t="inlineStr">
        <is>
          <t>Shina</t>
        </is>
      </c>
      <c r="C192" s="38" t="inlineStr">
        <is>
          <t>Cook</t>
        </is>
      </c>
      <c r="D192" s="38" t="inlineStr">
        <is>
          <t>Temple University</t>
        </is>
      </c>
      <c r="E192" s="38" t="inlineStr">
        <is>
          <t>Public Health</t>
        </is>
      </c>
      <c r="F192" s="35" t="inlineStr">
        <is>
          <t>High</t>
        </is>
      </c>
      <c r="G192" s="35" t="inlineStr">
        <is>
          <t>High</t>
        </is>
      </c>
      <c r="H192" s="38" t="inlineStr">
        <is>
          <t>shina.cook@temple.edu</t>
        </is>
      </c>
      <c r="I192" s="38" t="inlineStr">
        <is>
          <t>2026-04-02</t>
        </is>
      </c>
      <c r="J192" s="38" t="n"/>
      <c r="K192" s="38" t="inlineStr">
        <is>
          <t>NO</t>
        </is>
      </c>
      <c r="L192" s="39" t="inlineStr">
        <is>
          <t>New Lead</t>
        </is>
      </c>
      <c r="M192" s="38" t="n"/>
      <c r="N192" s="38" t="n"/>
      <c r="O192" s="38" t="n"/>
      <c r="P192" s="38" t="n">
        <v>2500</v>
      </c>
      <c r="Q192" s="38" t="n">
        <v>0</v>
      </c>
      <c r="R192" s="40">
        <f>IF(J192="","",TODAY()-DATE(LEFT(J192,4)*1,MID(J192,6,2)*1,RIGHT(J192,2)*1))</f>
        <v/>
      </c>
    </row>
    <row r="193" ht="18" customHeight="1" s="31">
      <c r="A193" s="34" t="n">
        <v>191</v>
      </c>
      <c r="B193" s="34" t="inlineStr">
        <is>
          <t>Amber</t>
        </is>
      </c>
      <c r="C193" s="34" t="inlineStr">
        <is>
          <t>Davidson</t>
        </is>
      </c>
      <c r="D193" s="34" t="inlineStr">
        <is>
          <t>Temple University</t>
        </is>
      </c>
      <c r="E193" s="34" t="inlineStr">
        <is>
          <t>Public Health</t>
        </is>
      </c>
      <c r="F193" s="35" t="inlineStr">
        <is>
          <t>High</t>
        </is>
      </c>
      <c r="G193" s="35" t="inlineStr">
        <is>
          <t>High</t>
        </is>
      </c>
      <c r="H193" s="34" t="inlineStr">
        <is>
          <t>amber.davidson@temple.edu</t>
        </is>
      </c>
      <c r="I193" s="34" t="inlineStr">
        <is>
          <t>2026-04-02</t>
        </is>
      </c>
      <c r="J193" s="34" t="n"/>
      <c r="K193" s="34" t="inlineStr">
        <is>
          <t>NO</t>
        </is>
      </c>
      <c r="L193" s="36" t="inlineStr">
        <is>
          <t>New Lead</t>
        </is>
      </c>
      <c r="M193" s="34" t="n"/>
      <c r="N193" s="34" t="n"/>
      <c r="O193" s="34" t="n"/>
      <c r="P193" s="34" t="n">
        <v>2500</v>
      </c>
      <c r="Q193" s="34" t="n">
        <v>0</v>
      </c>
      <c r="R193" s="37">
        <f>IF(J193="","",TODAY()-DATE(LEFT(J193,4)*1,MID(J193,6,2)*1,RIGHT(J193,2)*1))</f>
        <v/>
      </c>
    </row>
    <row r="194" ht="18" customHeight="1" s="31">
      <c r="A194" s="38" t="n">
        <v>192</v>
      </c>
      <c r="B194" s="38" t="inlineStr">
        <is>
          <t>Taye</t>
        </is>
      </c>
      <c r="C194" s="38" t="inlineStr">
        <is>
          <t>Hallock</t>
        </is>
      </c>
      <c r="D194" s="38" t="inlineStr">
        <is>
          <t>Temple University</t>
        </is>
      </c>
      <c r="E194" s="38" t="inlineStr">
        <is>
          <t>Public Health</t>
        </is>
      </c>
      <c r="F194" s="35" t="inlineStr">
        <is>
          <t>High</t>
        </is>
      </c>
      <c r="G194" s="35" t="inlineStr">
        <is>
          <t>High</t>
        </is>
      </c>
      <c r="H194" s="38" t="inlineStr">
        <is>
          <t>taye.hallock@temple.edu</t>
        </is>
      </c>
      <c r="I194" s="38" t="inlineStr">
        <is>
          <t>2026-04-02</t>
        </is>
      </c>
      <c r="J194" s="38" t="n"/>
      <c r="K194" s="38" t="inlineStr">
        <is>
          <t>NO</t>
        </is>
      </c>
      <c r="L194" s="39" t="inlineStr">
        <is>
          <t>New Lead</t>
        </is>
      </c>
      <c r="M194" s="38" t="n"/>
      <c r="N194" s="38" t="n"/>
      <c r="O194" s="38" t="n"/>
      <c r="P194" s="38" t="n">
        <v>2500</v>
      </c>
      <c r="Q194" s="38" t="n">
        <v>0</v>
      </c>
      <c r="R194" s="40">
        <f>IF(J194="","",TODAY()-DATE(LEFT(J194,4)*1,MID(J194,6,2)*1,RIGHT(J194,2)*1))</f>
        <v/>
      </c>
    </row>
    <row r="195" ht="18" customHeight="1" s="31">
      <c r="A195" s="34" t="n">
        <v>193</v>
      </c>
      <c r="B195" s="34" t="inlineStr">
        <is>
          <t>Ariel</t>
        </is>
      </c>
      <c r="C195" s="34" t="inlineStr">
        <is>
          <t>Hoadley</t>
        </is>
      </c>
      <c r="D195" s="34" t="inlineStr">
        <is>
          <t>Temple University</t>
        </is>
      </c>
      <c r="E195" s="34" t="inlineStr">
        <is>
          <t>Public Health</t>
        </is>
      </c>
      <c r="F195" s="35" t="inlineStr">
        <is>
          <t>High</t>
        </is>
      </c>
      <c r="G195" s="35" t="inlineStr">
        <is>
          <t>High</t>
        </is>
      </c>
      <c r="H195" s="34" t="inlineStr">
        <is>
          <t>ariel.hoadley@temple.edu</t>
        </is>
      </c>
      <c r="I195" s="34" t="inlineStr">
        <is>
          <t>2026-04-02</t>
        </is>
      </c>
      <c r="J195" s="34" t="n"/>
      <c r="K195" s="34" t="inlineStr">
        <is>
          <t>NO</t>
        </is>
      </c>
      <c r="L195" s="36" t="inlineStr">
        <is>
          <t>New Lead</t>
        </is>
      </c>
      <c r="M195" s="34" t="n"/>
      <c r="N195" s="34" t="n"/>
      <c r="O195" s="34" t="n"/>
      <c r="P195" s="34" t="n">
        <v>2500</v>
      </c>
      <c r="Q195" s="34" t="n">
        <v>0</v>
      </c>
      <c r="R195" s="37">
        <f>IF(J195="","",TODAY()-DATE(LEFT(J195,4)*1,MID(J195,6,2)*1,RIGHT(J195,2)*1))</f>
        <v/>
      </c>
    </row>
    <row r="196" ht="18" customHeight="1" s="31">
      <c r="A196" s="38" t="n">
        <v>194</v>
      </c>
      <c r="B196" s="38" t="inlineStr">
        <is>
          <t>Tugce</t>
        </is>
      </c>
      <c r="C196" s="38" t="inlineStr">
        <is>
          <t>Kinik</t>
        </is>
      </c>
      <c r="D196" s="38" t="inlineStr">
        <is>
          <t>Temple University</t>
        </is>
      </c>
      <c r="E196" s="38" t="inlineStr">
        <is>
          <t>Public Health</t>
        </is>
      </c>
      <c r="F196" s="35" t="inlineStr">
        <is>
          <t>High</t>
        </is>
      </c>
      <c r="G196" s="35" t="inlineStr">
        <is>
          <t>High</t>
        </is>
      </c>
      <c r="H196" s="38" t="inlineStr">
        <is>
          <t>tugce.kinik@temple.edu</t>
        </is>
      </c>
      <c r="I196" s="38" t="inlineStr">
        <is>
          <t>2026-04-02</t>
        </is>
      </c>
      <c r="J196" s="38" t="n"/>
      <c r="K196" s="38" t="inlineStr">
        <is>
          <t>NO</t>
        </is>
      </c>
      <c r="L196" s="39" t="inlineStr">
        <is>
          <t>New Lead</t>
        </is>
      </c>
      <c r="M196" s="38" t="n"/>
      <c r="N196" s="38" t="n"/>
      <c r="O196" s="38" t="n"/>
      <c r="P196" s="38" t="n">
        <v>2500</v>
      </c>
      <c r="Q196" s="38" t="n">
        <v>0</v>
      </c>
      <c r="R196" s="40">
        <f>IF(J196="","",TODAY()-DATE(LEFT(J196,4)*1,MID(J196,6,2)*1,RIGHT(J196,2)*1))</f>
        <v/>
      </c>
    </row>
    <row r="197" ht="18" customHeight="1" s="31">
      <c r="A197" s="34" t="n">
        <v>195</v>
      </c>
      <c r="B197" s="34" t="inlineStr">
        <is>
          <t>Brian</t>
        </is>
      </c>
      <c r="C197" s="34" t="inlineStr">
        <is>
          <t>Kopicko</t>
        </is>
      </c>
      <c r="D197" s="34" t="inlineStr">
        <is>
          <t>Temple University</t>
        </is>
      </c>
      <c r="E197" s="34" t="inlineStr">
        <is>
          <t>Public Health</t>
        </is>
      </c>
      <c r="F197" s="35" t="inlineStr">
        <is>
          <t>High</t>
        </is>
      </c>
      <c r="G197" s="35" t="inlineStr">
        <is>
          <t>High</t>
        </is>
      </c>
      <c r="H197" s="34" t="inlineStr">
        <is>
          <t>brian.kopicko@temple.edu</t>
        </is>
      </c>
      <c r="I197" s="34" t="inlineStr">
        <is>
          <t>2026-04-02</t>
        </is>
      </c>
      <c r="J197" s="34" t="n"/>
      <c r="K197" s="34" t="inlineStr">
        <is>
          <t>NO</t>
        </is>
      </c>
      <c r="L197" s="36" t="inlineStr">
        <is>
          <t>New Lead</t>
        </is>
      </c>
      <c r="M197" s="34" t="n"/>
      <c r="N197" s="34" t="n"/>
      <c r="O197" s="34" t="n"/>
      <c r="P197" s="34" t="n">
        <v>2500</v>
      </c>
      <c r="Q197" s="34" t="n">
        <v>0</v>
      </c>
      <c r="R197" s="37">
        <f>IF(J197="","",TODAY()-DATE(LEFT(J197,4)*1,MID(J197,6,2)*1,RIGHT(J197,2)*1))</f>
        <v/>
      </c>
    </row>
    <row r="198" ht="18" customHeight="1" s="31">
      <c r="A198" s="38" t="n">
        <v>196</v>
      </c>
      <c r="B198" s="38" t="inlineStr">
        <is>
          <t>Diana</t>
        </is>
      </c>
      <c r="C198" s="38" t="inlineStr">
        <is>
          <t>Litsas</t>
        </is>
      </c>
      <c r="D198" s="38" t="inlineStr">
        <is>
          <t>Temple University</t>
        </is>
      </c>
      <c r="E198" s="38" t="inlineStr">
        <is>
          <t>Public Health</t>
        </is>
      </c>
      <c r="F198" s="35" t="inlineStr">
        <is>
          <t>High</t>
        </is>
      </c>
      <c r="G198" s="35" t="inlineStr">
        <is>
          <t>High</t>
        </is>
      </c>
      <c r="H198" s="38" t="inlineStr">
        <is>
          <t>diana.litsas@temple.edu</t>
        </is>
      </c>
      <c r="I198" s="38" t="inlineStr">
        <is>
          <t>2026-04-02</t>
        </is>
      </c>
      <c r="J198" s="38" t="n"/>
      <c r="K198" s="38" t="inlineStr">
        <is>
          <t>NO</t>
        </is>
      </c>
      <c r="L198" s="39" t="inlineStr">
        <is>
          <t>New Lead</t>
        </is>
      </c>
      <c r="M198" s="38" t="n"/>
      <c r="N198" s="38" t="n"/>
      <c r="O198" s="38" t="n"/>
      <c r="P198" s="38" t="n">
        <v>2500</v>
      </c>
      <c r="Q198" s="38" t="n">
        <v>0</v>
      </c>
      <c r="R198" s="40">
        <f>IF(J198="","",TODAY()-DATE(LEFT(J198,4)*1,MID(J198,6,2)*1,RIGHT(J198,2)*1))</f>
        <v/>
      </c>
    </row>
    <row r="199" ht="18" customHeight="1" s="31">
      <c r="A199" s="34" t="n">
        <v>197</v>
      </c>
      <c r="B199" s="34" t="inlineStr">
        <is>
          <t>Meghan</t>
        </is>
      </c>
      <c r="C199" s="34" t="inlineStr">
        <is>
          <t>Littlejohn</t>
        </is>
      </c>
      <c r="D199" s="34" t="inlineStr">
        <is>
          <t>Temple University</t>
        </is>
      </c>
      <c r="E199" s="34" t="inlineStr">
        <is>
          <t>Public Health</t>
        </is>
      </c>
      <c r="F199" s="35" t="inlineStr">
        <is>
          <t>High</t>
        </is>
      </c>
      <c r="G199" s="35" t="inlineStr">
        <is>
          <t>High</t>
        </is>
      </c>
      <c r="H199" s="34" t="inlineStr">
        <is>
          <t>meghan.littlejohn@temple.edu</t>
        </is>
      </c>
      <c r="I199" s="34" t="inlineStr">
        <is>
          <t>2026-04-02</t>
        </is>
      </c>
      <c r="J199" s="34" t="n"/>
      <c r="K199" s="34" t="inlineStr">
        <is>
          <t>NO</t>
        </is>
      </c>
      <c r="L199" s="36" t="inlineStr">
        <is>
          <t>New Lead</t>
        </is>
      </c>
      <c r="M199" s="34" t="n"/>
      <c r="N199" s="34" t="n"/>
      <c r="O199" s="34" t="n"/>
      <c r="P199" s="34" t="n">
        <v>2500</v>
      </c>
      <c r="Q199" s="34" t="n">
        <v>0</v>
      </c>
      <c r="R199" s="37">
        <f>IF(J199="","",TODAY()-DATE(LEFT(J199,4)*1,MID(J199,6,2)*1,RIGHT(J199,2)*1))</f>
        <v/>
      </c>
    </row>
    <row r="200" ht="18" customHeight="1" s="31">
      <c r="A200" s="38" t="n">
        <v>198</v>
      </c>
      <c r="B200" s="38" t="inlineStr">
        <is>
          <t>Rachael</t>
        </is>
      </c>
      <c r="C200" s="38" t="inlineStr">
        <is>
          <t>Loeb</t>
        </is>
      </c>
      <c r="D200" s="38" t="inlineStr">
        <is>
          <t>Temple University</t>
        </is>
      </c>
      <c r="E200" s="38" t="inlineStr">
        <is>
          <t>Public Health</t>
        </is>
      </c>
      <c r="F200" s="35" t="inlineStr">
        <is>
          <t>High</t>
        </is>
      </c>
      <c r="G200" s="35" t="inlineStr">
        <is>
          <t>High</t>
        </is>
      </c>
      <c r="H200" s="38" t="inlineStr">
        <is>
          <t>rachael.loeb@temple.edu</t>
        </is>
      </c>
      <c r="I200" s="38" t="inlineStr">
        <is>
          <t>2026-04-02</t>
        </is>
      </c>
      <c r="J200" s="38" t="n"/>
      <c r="K200" s="38" t="inlineStr">
        <is>
          <t>NO</t>
        </is>
      </c>
      <c r="L200" s="39" t="inlineStr">
        <is>
          <t>New Lead</t>
        </is>
      </c>
      <c r="M200" s="38" t="n"/>
      <c r="N200" s="38" t="n"/>
      <c r="O200" s="38" t="n"/>
      <c r="P200" s="38" t="n">
        <v>2500</v>
      </c>
      <c r="Q200" s="38" t="n">
        <v>0</v>
      </c>
      <c r="R200" s="40">
        <f>IF(J200="","",TODAY()-DATE(LEFT(J200,4)*1,MID(J200,6,2)*1,RIGHT(J200,2)*1))</f>
        <v/>
      </c>
    </row>
    <row r="201" ht="18" customHeight="1" s="31">
      <c r="A201" s="34" t="n">
        <v>199</v>
      </c>
      <c r="B201" s="34" t="inlineStr">
        <is>
          <t>Jonathan</t>
        </is>
      </c>
      <c r="C201" s="34" t="inlineStr">
        <is>
          <t>Marchetto</t>
        </is>
      </c>
      <c r="D201" s="34" t="inlineStr">
        <is>
          <t>Temple University</t>
        </is>
      </c>
      <c r="E201" s="34" t="inlineStr">
        <is>
          <t>Public Health</t>
        </is>
      </c>
      <c r="F201" s="35" t="inlineStr">
        <is>
          <t>High</t>
        </is>
      </c>
      <c r="G201" s="35" t="inlineStr">
        <is>
          <t>High</t>
        </is>
      </c>
      <c r="H201" s="34" t="inlineStr">
        <is>
          <t>jonathan.marchetto@temple.edu</t>
        </is>
      </c>
      <c r="I201" s="34" t="inlineStr">
        <is>
          <t>2026-04-02</t>
        </is>
      </c>
      <c r="J201" s="34" t="n"/>
      <c r="K201" s="34" t="inlineStr">
        <is>
          <t>NO</t>
        </is>
      </c>
      <c r="L201" s="36" t="inlineStr">
        <is>
          <t>New Lead</t>
        </is>
      </c>
      <c r="M201" s="34" t="n"/>
      <c r="N201" s="34" t="n"/>
      <c r="O201" s="34" t="n"/>
      <c r="P201" s="34" t="n">
        <v>2500</v>
      </c>
      <c r="Q201" s="34" t="n">
        <v>0</v>
      </c>
      <c r="R201" s="37">
        <f>IF(J201="","",TODAY()-DATE(LEFT(J201,4)*1,MID(J201,6,2)*1,RIGHT(J201,2)*1))</f>
        <v/>
      </c>
    </row>
    <row r="202" ht="18" customHeight="1" s="31">
      <c r="A202" s="38" t="n">
        <v>200</v>
      </c>
      <c r="B202" s="38" t="inlineStr">
        <is>
          <t>Yasamin</t>
        </is>
      </c>
      <c r="C202" s="38" t="inlineStr">
        <is>
          <t>Molazeinal</t>
        </is>
      </c>
      <c r="D202" s="38" t="inlineStr">
        <is>
          <t>Temple University</t>
        </is>
      </c>
      <c r="E202" s="38" t="inlineStr">
        <is>
          <t>Public Health</t>
        </is>
      </c>
      <c r="F202" s="35" t="inlineStr">
        <is>
          <t>High</t>
        </is>
      </c>
      <c r="G202" s="35" t="inlineStr">
        <is>
          <t>High</t>
        </is>
      </c>
      <c r="H202" s="38" t="inlineStr">
        <is>
          <t>yasamin.molazeinal@temple.edu</t>
        </is>
      </c>
      <c r="I202" s="38" t="inlineStr">
        <is>
          <t>2026-04-02</t>
        </is>
      </c>
      <c r="J202" s="38" t="n"/>
      <c r="K202" s="38" t="inlineStr">
        <is>
          <t>NO</t>
        </is>
      </c>
      <c r="L202" s="39" t="inlineStr">
        <is>
          <t>New Lead</t>
        </is>
      </c>
      <c r="M202" s="38" t="n"/>
      <c r="N202" s="38" t="n"/>
      <c r="O202" s="38" t="n"/>
      <c r="P202" s="38" t="n">
        <v>2500</v>
      </c>
      <c r="Q202" s="38" t="n">
        <v>0</v>
      </c>
      <c r="R202" s="40">
        <f>IF(J202="","",TODAY()-DATE(LEFT(J202,4)*1,MID(J202,6,2)*1,RIGHT(J202,2)*1))</f>
        <v/>
      </c>
    </row>
    <row r="203" ht="18" customHeight="1" s="31">
      <c r="A203" s="34" t="n">
        <v>201</v>
      </c>
      <c r="B203" s="34" t="inlineStr">
        <is>
          <t>Avery</t>
        </is>
      </c>
      <c r="C203" s="34" t="inlineStr">
        <is>
          <t>Pattullo</t>
        </is>
      </c>
      <c r="D203" s="34" t="inlineStr">
        <is>
          <t>Temple University</t>
        </is>
      </c>
      <c r="E203" s="34" t="inlineStr">
        <is>
          <t>Public Health</t>
        </is>
      </c>
      <c r="F203" s="35" t="inlineStr">
        <is>
          <t>High</t>
        </is>
      </c>
      <c r="G203" s="35" t="inlineStr">
        <is>
          <t>High</t>
        </is>
      </c>
      <c r="H203" s="34" t="inlineStr">
        <is>
          <t>avery.pattullo@temple.edu</t>
        </is>
      </c>
      <c r="I203" s="34" t="inlineStr">
        <is>
          <t>2026-04-02</t>
        </is>
      </c>
      <c r="J203" s="34" t="n"/>
      <c r="K203" s="34" t="inlineStr">
        <is>
          <t>NO</t>
        </is>
      </c>
      <c r="L203" s="36" t="inlineStr">
        <is>
          <t>New Lead</t>
        </is>
      </c>
      <c r="M203" s="34" t="n"/>
      <c r="N203" s="34" t="n"/>
      <c r="O203" s="34" t="n"/>
      <c r="P203" s="34" t="n">
        <v>2500</v>
      </c>
      <c r="Q203" s="34" t="n">
        <v>0</v>
      </c>
      <c r="R203" s="37">
        <f>IF(J203="","",TODAY()-DATE(LEFT(J203,4)*1,MID(J203,6,2)*1,RIGHT(J203,2)*1))</f>
        <v/>
      </c>
    </row>
    <row r="204" ht="18" customHeight="1" s="31">
      <c r="A204" s="38" t="n">
        <v>202</v>
      </c>
      <c r="B204" s="38" t="inlineStr">
        <is>
          <t>Kirsten</t>
        </is>
      </c>
      <c r="C204" s="38" t="inlineStr">
        <is>
          <t>Paulus</t>
        </is>
      </c>
      <c r="D204" s="38" t="inlineStr">
        <is>
          <t>Temple University</t>
        </is>
      </c>
      <c r="E204" s="38" t="inlineStr">
        <is>
          <t>Public Health</t>
        </is>
      </c>
      <c r="F204" s="35" t="inlineStr">
        <is>
          <t>High</t>
        </is>
      </c>
      <c r="G204" s="35" t="inlineStr">
        <is>
          <t>High</t>
        </is>
      </c>
      <c r="H204" s="38" t="inlineStr">
        <is>
          <t>kirsten.paulus@temple.edu</t>
        </is>
      </c>
      <c r="I204" s="38" t="inlineStr">
        <is>
          <t>2026-04-02</t>
        </is>
      </c>
      <c r="J204" s="38" t="n"/>
      <c r="K204" s="38" t="inlineStr">
        <is>
          <t>NO</t>
        </is>
      </c>
      <c r="L204" s="39" t="inlineStr">
        <is>
          <t>New Lead</t>
        </is>
      </c>
      <c r="M204" s="38" t="n"/>
      <c r="N204" s="38" t="n"/>
      <c r="O204" s="38" t="n"/>
      <c r="P204" s="38" t="n">
        <v>2500</v>
      </c>
      <c r="Q204" s="38" t="n">
        <v>0</v>
      </c>
      <c r="R204" s="40">
        <f>IF(J204="","",TODAY()-DATE(LEFT(J204,4)*1,MID(J204,6,2)*1,RIGHT(J204,2)*1))</f>
        <v/>
      </c>
    </row>
    <row r="205" ht="18" customHeight="1" s="31">
      <c r="A205" s="34" t="n">
        <v>203</v>
      </c>
      <c r="B205" s="34" t="inlineStr">
        <is>
          <t>Alexandra</t>
        </is>
      </c>
      <c r="C205" s="34" t="inlineStr">
        <is>
          <t>Ruth</t>
        </is>
      </c>
      <c r="D205" s="34" t="inlineStr">
        <is>
          <t>Temple University</t>
        </is>
      </c>
      <c r="E205" s="34" t="inlineStr">
        <is>
          <t>Public Health</t>
        </is>
      </c>
      <c r="F205" s="35" t="inlineStr">
        <is>
          <t>High</t>
        </is>
      </c>
      <c r="G205" s="35" t="inlineStr">
        <is>
          <t>High</t>
        </is>
      </c>
      <c r="H205" s="34" t="inlineStr">
        <is>
          <t>alexandra.ruth@temple.edu</t>
        </is>
      </c>
      <c r="I205" s="34" t="inlineStr">
        <is>
          <t>2026-04-02</t>
        </is>
      </c>
      <c r="J205" s="34" t="n"/>
      <c r="K205" s="34" t="inlineStr">
        <is>
          <t>NO</t>
        </is>
      </c>
      <c r="L205" s="36" t="inlineStr">
        <is>
          <t>New Lead</t>
        </is>
      </c>
      <c r="M205" s="34" t="n"/>
      <c r="N205" s="34" t="n"/>
      <c r="O205" s="34" t="n"/>
      <c r="P205" s="34" t="n">
        <v>2500</v>
      </c>
      <c r="Q205" s="34" t="n">
        <v>0</v>
      </c>
      <c r="R205" s="37">
        <f>IF(J205="","",TODAY()-DATE(LEFT(J205,4)*1,MID(J205,6,2)*1,RIGHT(J205,2)*1))</f>
        <v/>
      </c>
    </row>
    <row r="206" ht="18" customHeight="1" s="31">
      <c r="A206" s="38" t="n">
        <v>204</v>
      </c>
      <c r="B206" s="38" t="inlineStr">
        <is>
          <t>Sarah</t>
        </is>
      </c>
      <c r="C206" s="38" t="inlineStr">
        <is>
          <t>Tomlinson</t>
        </is>
      </c>
      <c r="D206" s="38" t="inlineStr">
        <is>
          <t>Temple University</t>
        </is>
      </c>
      <c r="E206" s="38" t="inlineStr">
        <is>
          <t>Public Health</t>
        </is>
      </c>
      <c r="F206" s="35" t="inlineStr">
        <is>
          <t>High</t>
        </is>
      </c>
      <c r="G206" s="35" t="inlineStr">
        <is>
          <t>High</t>
        </is>
      </c>
      <c r="H206" s="38" t="inlineStr">
        <is>
          <t>sarah.tomlinson@temple.edu</t>
        </is>
      </c>
      <c r="I206" s="38" t="inlineStr">
        <is>
          <t>2026-04-02</t>
        </is>
      </c>
      <c r="J206" s="38" t="n"/>
      <c r="K206" s="38" t="inlineStr">
        <is>
          <t>NO</t>
        </is>
      </c>
      <c r="L206" s="39" t="inlineStr">
        <is>
          <t>New Lead</t>
        </is>
      </c>
      <c r="M206" s="38" t="n"/>
      <c r="N206" s="38" t="n"/>
      <c r="O206" s="38" t="n"/>
      <c r="P206" s="38" t="n">
        <v>2500</v>
      </c>
      <c r="Q206" s="38" t="n">
        <v>0</v>
      </c>
      <c r="R206" s="40">
        <f>IF(J206="","",TODAY()-DATE(LEFT(J206,4)*1,MID(J206,6,2)*1,RIGHT(J206,2)*1))</f>
        <v/>
      </c>
    </row>
    <row r="207" ht="18" customHeight="1" s="31">
      <c r="A207" s="34" t="n">
        <v>205</v>
      </c>
      <c r="B207" s="34" t="inlineStr">
        <is>
          <t>Matthew</t>
        </is>
      </c>
      <c r="C207" s="34" t="inlineStr">
        <is>
          <t>Topley</t>
        </is>
      </c>
      <c r="D207" s="34" t="inlineStr">
        <is>
          <t>Temple University</t>
        </is>
      </c>
      <c r="E207" s="34" t="inlineStr">
        <is>
          <t>Public Health</t>
        </is>
      </c>
      <c r="F207" s="35" t="inlineStr">
        <is>
          <t>High</t>
        </is>
      </c>
      <c r="G207" s="35" t="inlineStr">
        <is>
          <t>High</t>
        </is>
      </c>
      <c r="H207" s="34" t="inlineStr">
        <is>
          <t>topley@temple.edu</t>
        </is>
      </c>
      <c r="I207" s="34" t="inlineStr">
        <is>
          <t>2026-04-02</t>
        </is>
      </c>
      <c r="J207" s="34" t="n"/>
      <c r="K207" s="34" t="inlineStr">
        <is>
          <t>NO</t>
        </is>
      </c>
      <c r="L207" s="36" t="inlineStr">
        <is>
          <t>New Lead</t>
        </is>
      </c>
      <c r="M207" s="34" t="n"/>
      <c r="N207" s="34" t="n"/>
      <c r="O207" s="34" t="n"/>
      <c r="P207" s="34" t="n">
        <v>2500</v>
      </c>
      <c r="Q207" s="34" t="n">
        <v>0</v>
      </c>
      <c r="R207" s="37">
        <f>IF(J207="","",TODAY()-DATE(LEFT(J207,4)*1,MID(J207,6,2)*1,RIGHT(J207,2)*1))</f>
        <v/>
      </c>
    </row>
    <row r="208" ht="18" customHeight="1" s="31">
      <c r="A208" s="38" t="n">
        <v>206</v>
      </c>
      <c r="B208" s="38" t="inlineStr">
        <is>
          <t>Imani</t>
        </is>
      </c>
      <c r="C208" s="38" t="inlineStr">
        <is>
          <t>Wilson-Shabazz</t>
        </is>
      </c>
      <c r="D208" s="38" t="inlineStr">
        <is>
          <t>Temple University</t>
        </is>
      </c>
      <c r="E208" s="38" t="inlineStr">
        <is>
          <t>Public Health</t>
        </is>
      </c>
      <c r="F208" s="35" t="inlineStr">
        <is>
          <t>High</t>
        </is>
      </c>
      <c r="G208" s="35" t="inlineStr">
        <is>
          <t>High</t>
        </is>
      </c>
      <c r="H208" s="38" t="inlineStr">
        <is>
          <t>imani.wilson-shabazz@temple.edu</t>
        </is>
      </c>
      <c r="I208" s="38" t="inlineStr">
        <is>
          <t>2026-04-02</t>
        </is>
      </c>
      <c r="J208" s="38" t="n"/>
      <c r="K208" s="38" t="inlineStr">
        <is>
          <t>NO</t>
        </is>
      </c>
      <c r="L208" s="39" t="inlineStr">
        <is>
          <t>New Lead</t>
        </is>
      </c>
      <c r="M208" s="38" t="n"/>
      <c r="N208" s="38" t="n"/>
      <c r="O208" s="38" t="n"/>
      <c r="P208" s="38" t="n">
        <v>2500</v>
      </c>
      <c r="Q208" s="38" t="n">
        <v>0</v>
      </c>
      <c r="R208" s="40">
        <f>IF(J208="","",TODAY()-DATE(LEFT(J208,4)*1,MID(J208,6,2)*1,RIGHT(J208,2)*1))</f>
        <v/>
      </c>
    </row>
    <row r="209" ht="18" customHeight="1" s="31">
      <c r="A209" s="34" t="n">
        <v>207</v>
      </c>
      <c r="B209" s="34" t="inlineStr">
        <is>
          <t>Haoyu</t>
        </is>
      </c>
      <c r="C209" s="34" t="inlineStr">
        <is>
          <t>Zhou</t>
        </is>
      </c>
      <c r="D209" s="34" t="inlineStr">
        <is>
          <t>Temple University</t>
        </is>
      </c>
      <c r="E209" s="34" t="inlineStr">
        <is>
          <t>Public Health</t>
        </is>
      </c>
      <c r="F209" s="35" t="inlineStr">
        <is>
          <t>High</t>
        </is>
      </c>
      <c r="G209" s="35" t="inlineStr">
        <is>
          <t>High</t>
        </is>
      </c>
      <c r="H209" s="34" t="inlineStr">
        <is>
          <t>haoyu.zhou@temple.edu</t>
        </is>
      </c>
      <c r="I209" s="34" t="inlineStr">
        <is>
          <t>2026-04-02</t>
        </is>
      </c>
      <c r="J209" s="34" t="n"/>
      <c r="K209" s="34" t="inlineStr">
        <is>
          <t>NO</t>
        </is>
      </c>
      <c r="L209" s="36" t="inlineStr">
        <is>
          <t>New Lead</t>
        </is>
      </c>
      <c r="M209" s="34" t="n"/>
      <c r="N209" s="34" t="n"/>
      <c r="O209" s="34" t="n"/>
      <c r="P209" s="34" t="n">
        <v>2500</v>
      </c>
      <c r="Q209" s="34" t="n">
        <v>0</v>
      </c>
      <c r="R209" s="37">
        <f>IF(J209="","",TODAY()-DATE(LEFT(J209,4)*1,MID(J209,6,2)*1,RIGHT(J209,2)*1))</f>
        <v/>
      </c>
    </row>
    <row r="210" ht="18" customHeight="1" s="31">
      <c r="A210" s="38" t="n">
        <v>208</v>
      </c>
      <c r="B210" s="38" t="inlineStr">
        <is>
          <t>Huimiao</t>
        </is>
      </c>
      <c r="C210" s="38" t="inlineStr">
        <is>
          <t>Chen</t>
        </is>
      </c>
      <c r="D210" s="38" t="inlineStr">
        <is>
          <t>Yale University</t>
        </is>
      </c>
      <c r="E210" s="38" t="inlineStr">
        <is>
          <t>Public Health</t>
        </is>
      </c>
      <c r="F210" s="35" t="inlineStr">
        <is>
          <t>High</t>
        </is>
      </c>
      <c r="G210" s="35" t="inlineStr">
        <is>
          <t>High</t>
        </is>
      </c>
      <c r="H210" s="38" t="inlineStr">
        <is>
          <t>huimiao.chen@yale.edu</t>
        </is>
      </c>
      <c r="I210" s="38" t="inlineStr">
        <is>
          <t>2026-04-02</t>
        </is>
      </c>
      <c r="J210" s="38" t="n"/>
      <c r="K210" s="38" t="inlineStr">
        <is>
          <t>NO</t>
        </is>
      </c>
      <c r="L210" s="39" t="inlineStr">
        <is>
          <t>New Lead</t>
        </is>
      </c>
      <c r="M210" s="38" t="n"/>
      <c r="N210" s="38" t="n"/>
      <c r="O210" s="38" t="n"/>
      <c r="P210" s="38" t="n">
        <v>2500</v>
      </c>
      <c r="Q210" s="38" t="n">
        <v>0</v>
      </c>
      <c r="R210" s="40">
        <f>IF(J210="","",TODAY()-DATE(LEFT(J210,4)*1,MID(J210,6,2)*1,RIGHT(J210,2)*1))</f>
        <v/>
      </c>
    </row>
    <row r="211" ht="18" customHeight="1" s="31">
      <c r="A211" s="34" t="n">
        <v>209</v>
      </c>
      <c r="B211" s="34" t="inlineStr">
        <is>
          <t>Tina</t>
        </is>
      </c>
      <c r="C211" s="34" t="inlineStr">
        <is>
          <t>Guo</t>
        </is>
      </c>
      <c r="D211" s="34" t="inlineStr">
        <is>
          <t>Yale University</t>
        </is>
      </c>
      <c r="E211" s="34" t="inlineStr">
        <is>
          <t>Public Health</t>
        </is>
      </c>
      <c r="F211" s="35" t="inlineStr">
        <is>
          <t>High</t>
        </is>
      </c>
      <c r="G211" s="35" t="inlineStr">
        <is>
          <t>High</t>
        </is>
      </c>
      <c r="H211" s="34" t="inlineStr">
        <is>
          <t>yunshan.guo@yale.edu</t>
        </is>
      </c>
      <c r="I211" s="34" t="inlineStr">
        <is>
          <t>2026-04-02</t>
        </is>
      </c>
      <c r="J211" s="34" t="n"/>
      <c r="K211" s="34" t="inlineStr">
        <is>
          <t>NO</t>
        </is>
      </c>
      <c r="L211" s="36" t="inlineStr">
        <is>
          <t>New Lead</t>
        </is>
      </c>
      <c r="M211" s="34" t="n"/>
      <c r="N211" s="34" t="n"/>
      <c r="O211" s="34" t="n"/>
      <c r="P211" s="34" t="n">
        <v>2500</v>
      </c>
      <c r="Q211" s="34" t="n">
        <v>0</v>
      </c>
      <c r="R211" s="37">
        <f>IF(J211="","",TODAY()-DATE(LEFT(J211,4)*1,MID(J211,6,2)*1,RIGHT(J211,2)*1))</f>
        <v/>
      </c>
    </row>
    <row r="212" ht="18" customHeight="1" s="31">
      <c r="A212" s="38" t="n">
        <v>210</v>
      </c>
      <c r="B212" s="38" t="inlineStr">
        <is>
          <t>Claudia</t>
        </is>
      </c>
      <c r="C212" s="38" t="inlineStr">
        <is>
          <t>Mastrogiacomo</t>
        </is>
      </c>
      <c r="D212" s="38" t="inlineStr">
        <is>
          <t>Yale University</t>
        </is>
      </c>
      <c r="E212" s="38" t="inlineStr">
        <is>
          <t>Public Health</t>
        </is>
      </c>
      <c r="F212" s="35" t="inlineStr">
        <is>
          <t>High</t>
        </is>
      </c>
      <c r="G212" s="35" t="inlineStr">
        <is>
          <t>High</t>
        </is>
      </c>
      <c r="H212" s="38" t="inlineStr">
        <is>
          <t>claudia.mastrogiacomo@yale.edu</t>
        </is>
      </c>
      <c r="I212" s="38" t="inlineStr">
        <is>
          <t>2026-04-02</t>
        </is>
      </c>
      <c r="J212" s="38" t="n"/>
      <c r="K212" s="38" t="inlineStr">
        <is>
          <t>NO</t>
        </is>
      </c>
      <c r="L212" s="39" t="inlineStr">
        <is>
          <t>New Lead</t>
        </is>
      </c>
      <c r="M212" s="38" t="n"/>
      <c r="N212" s="38" t="n"/>
      <c r="O212" s="38" t="n"/>
      <c r="P212" s="38" t="n">
        <v>2500</v>
      </c>
      <c r="Q212" s="38" t="n">
        <v>0</v>
      </c>
      <c r="R212" s="40">
        <f>IF(J212="","",TODAY()-DATE(LEFT(J212,4)*1,MID(J212,6,2)*1,RIGHT(J212,2)*1))</f>
        <v/>
      </c>
    </row>
    <row r="213" ht="18" customHeight="1" s="31">
      <c r="A213" s="34" t="n">
        <v>211</v>
      </c>
      <c r="B213" s="34" t="inlineStr">
        <is>
          <t>Can</t>
        </is>
      </c>
      <c r="C213" s="34" t="inlineStr">
        <is>
          <t>Meng</t>
        </is>
      </c>
      <c r="D213" s="34" t="inlineStr">
        <is>
          <t>Yale University</t>
        </is>
      </c>
      <c r="E213" s="34" t="inlineStr">
        <is>
          <t>Public Health</t>
        </is>
      </c>
      <c r="F213" s="35" t="inlineStr">
        <is>
          <t>High</t>
        </is>
      </c>
      <c r="G213" s="35" t="inlineStr">
        <is>
          <t>High</t>
        </is>
      </c>
      <c r="H213" s="34" t="inlineStr">
        <is>
          <t>can.meng@yale.edu</t>
        </is>
      </c>
      <c r="I213" s="34" t="inlineStr">
        <is>
          <t>2026-04-02</t>
        </is>
      </c>
      <c r="J213" s="34" t="n"/>
      <c r="K213" s="34" t="inlineStr">
        <is>
          <t>NO</t>
        </is>
      </c>
      <c r="L213" s="36" t="inlineStr">
        <is>
          <t>New Lead</t>
        </is>
      </c>
      <c r="M213" s="34" t="n"/>
      <c r="N213" s="34" t="n"/>
      <c r="O213" s="34" t="n"/>
      <c r="P213" s="34" t="n">
        <v>2500</v>
      </c>
      <c r="Q213" s="34" t="n">
        <v>0</v>
      </c>
      <c r="R213" s="37">
        <f>IF(J213="","",TODAY()-DATE(LEFT(J213,4)*1,MID(J213,6,2)*1,RIGHT(J213,2)*1))</f>
        <v/>
      </c>
    </row>
    <row r="214" ht="18" customHeight="1" s="31">
      <c r="A214" s="38" t="n">
        <v>212</v>
      </c>
      <c r="B214" s="38" t="inlineStr">
        <is>
          <t>Yunhan</t>
        </is>
      </c>
      <c r="C214" s="38" t="inlineStr">
        <is>
          <t>Mou</t>
        </is>
      </c>
      <c r="D214" s="38" t="inlineStr">
        <is>
          <t>Yale University</t>
        </is>
      </c>
      <c r="E214" s="38" t="inlineStr">
        <is>
          <t>Public Health</t>
        </is>
      </c>
      <c r="F214" s="35" t="inlineStr">
        <is>
          <t>High</t>
        </is>
      </c>
      <c r="G214" s="35" t="inlineStr">
        <is>
          <t>High</t>
        </is>
      </c>
      <c r="H214" s="38" t="inlineStr">
        <is>
          <t>yunhan.mou@yale.edu</t>
        </is>
      </c>
      <c r="I214" s="38" t="inlineStr">
        <is>
          <t>2026-04-02</t>
        </is>
      </c>
      <c r="J214" s="38" t="n"/>
      <c r="K214" s="38" t="inlineStr">
        <is>
          <t>NO</t>
        </is>
      </c>
      <c r="L214" s="39" t="inlineStr">
        <is>
          <t>New Lead</t>
        </is>
      </c>
      <c r="M214" s="38" t="n"/>
      <c r="N214" s="38" t="n"/>
      <c r="O214" s="38" t="n"/>
      <c r="P214" s="38" t="n">
        <v>2500</v>
      </c>
      <c r="Q214" s="38" t="n">
        <v>0</v>
      </c>
      <c r="R214" s="40">
        <f>IF(J214="","",TODAY()-DATE(LEFT(J214,4)*1,MID(J214,6,2)*1,RIGHT(J214,2)*1))</f>
        <v/>
      </c>
    </row>
    <row r="215" ht="18" customHeight="1" s="31">
      <c r="A215" s="34" t="n">
        <v>213</v>
      </c>
      <c r="B215" s="34" t="inlineStr">
        <is>
          <t>Melody</t>
        </is>
      </c>
      <c r="C215" s="34" t="inlineStr">
        <is>
          <t>Owen</t>
        </is>
      </c>
      <c r="D215" s="34" t="inlineStr">
        <is>
          <t>Yale University</t>
        </is>
      </c>
      <c r="E215" s="34" t="inlineStr">
        <is>
          <t>Public Health</t>
        </is>
      </c>
      <c r="F215" s="35" t="inlineStr">
        <is>
          <t>High</t>
        </is>
      </c>
      <c r="G215" s="35" t="inlineStr">
        <is>
          <t>High</t>
        </is>
      </c>
      <c r="H215" s="34" t="inlineStr">
        <is>
          <t>melody.owen@yale.edu</t>
        </is>
      </c>
      <c r="I215" s="34" t="inlineStr">
        <is>
          <t>2026-04-02</t>
        </is>
      </c>
      <c r="J215" s="34" t="n"/>
      <c r="K215" s="34" t="inlineStr">
        <is>
          <t>NO</t>
        </is>
      </c>
      <c r="L215" s="36" t="inlineStr">
        <is>
          <t>New Lead</t>
        </is>
      </c>
      <c r="M215" s="34" t="n"/>
      <c r="N215" s="34" t="n"/>
      <c r="O215" s="34" t="n"/>
      <c r="P215" s="34" t="n">
        <v>2500</v>
      </c>
      <c r="Q215" s="34" t="n">
        <v>0</v>
      </c>
      <c r="R215" s="37">
        <f>IF(J215="","",TODAY()-DATE(LEFT(J215,4)*1,MID(J215,6,2)*1,RIGHT(J215,2)*1))</f>
        <v/>
      </c>
    </row>
    <row r="216" ht="18" customHeight="1" s="31">
      <c r="A216" s="38" t="n">
        <v>214</v>
      </c>
      <c r="B216" s="38" t="inlineStr">
        <is>
          <t>Waveley</t>
        </is>
      </c>
      <c r="C216" s="38" t="inlineStr">
        <is>
          <t>Qiu</t>
        </is>
      </c>
      <c r="D216" s="38" t="inlineStr">
        <is>
          <t>Yale University</t>
        </is>
      </c>
      <c r="E216" s="38" t="inlineStr">
        <is>
          <t>Public Health</t>
        </is>
      </c>
      <c r="F216" s="35" t="inlineStr">
        <is>
          <t>High</t>
        </is>
      </c>
      <c r="G216" s="35" t="inlineStr">
        <is>
          <t>High</t>
        </is>
      </c>
      <c r="H216" s="38" t="inlineStr">
        <is>
          <t>waveley.qiu@yale.edu</t>
        </is>
      </c>
      <c r="I216" s="38" t="inlineStr">
        <is>
          <t>2026-04-02</t>
        </is>
      </c>
      <c r="J216" s="38" t="n"/>
      <c r="K216" s="38" t="inlineStr">
        <is>
          <t>NO</t>
        </is>
      </c>
      <c r="L216" s="39" t="inlineStr">
        <is>
          <t>New Lead</t>
        </is>
      </c>
      <c r="M216" s="38" t="n"/>
      <c r="N216" s="38" t="n"/>
      <c r="O216" s="38" t="n"/>
      <c r="P216" s="38" t="n">
        <v>2500</v>
      </c>
      <c r="Q216" s="38" t="n">
        <v>0</v>
      </c>
      <c r="R216" s="40">
        <f>IF(J216="","",TODAY()-DATE(LEFT(J216,4)*1,MID(J216,6,2)*1,RIGHT(J216,2)*1))</f>
        <v/>
      </c>
    </row>
    <row r="217" ht="18" customHeight="1" s="31">
      <c r="A217" s="34" t="n">
        <v>215</v>
      </c>
      <c r="B217" s="34" t="inlineStr">
        <is>
          <t>Jiaqi</t>
        </is>
      </c>
      <c r="C217" s="34" t="inlineStr">
        <is>
          <t>Tong</t>
        </is>
      </c>
      <c r="D217" s="34" t="inlineStr">
        <is>
          <t>Yale University</t>
        </is>
      </c>
      <c r="E217" s="34" t="inlineStr">
        <is>
          <t>Public Health</t>
        </is>
      </c>
      <c r="F217" s="35" t="inlineStr">
        <is>
          <t>High</t>
        </is>
      </c>
      <c r="G217" s="35" t="inlineStr">
        <is>
          <t>High</t>
        </is>
      </c>
      <c r="H217" s="34" t="inlineStr">
        <is>
          <t>jiaqi.tong@yale.edu</t>
        </is>
      </c>
      <c r="I217" s="34" t="inlineStr">
        <is>
          <t>2026-04-02</t>
        </is>
      </c>
      <c r="J217" s="34" t="n"/>
      <c r="K217" s="34" t="inlineStr">
        <is>
          <t>NO</t>
        </is>
      </c>
      <c r="L217" s="36" t="inlineStr">
        <is>
          <t>New Lead</t>
        </is>
      </c>
      <c r="M217" s="34" t="n"/>
      <c r="N217" s="34" t="n"/>
      <c r="O217" s="34" t="n"/>
      <c r="P217" s="34" t="n">
        <v>2500</v>
      </c>
      <c r="Q217" s="34" t="n">
        <v>0</v>
      </c>
      <c r="R217" s="37">
        <f>IF(J217="","",TODAY()-DATE(LEFT(J217,4)*1,MID(J217,6,2)*1,RIGHT(J217,2)*1))</f>
        <v/>
      </c>
    </row>
    <row r="218" ht="18" customHeight="1" s="31">
      <c r="A218" s="38" t="n">
        <v>216</v>
      </c>
      <c r="B218" s="38" t="inlineStr">
        <is>
          <t>Alicia</t>
        </is>
      </c>
      <c r="C218" s="38" t="inlineStr">
        <is>
          <t>Williams</t>
        </is>
      </c>
      <c r="D218" s="38" t="inlineStr">
        <is>
          <t>Yale University</t>
        </is>
      </c>
      <c r="E218" s="38" t="inlineStr">
        <is>
          <t>Public Health</t>
        </is>
      </c>
      <c r="F218" s="35" t="inlineStr">
        <is>
          <t>High</t>
        </is>
      </c>
      <c r="G218" s="35" t="inlineStr">
        <is>
          <t>High</t>
        </is>
      </c>
      <c r="H218" s="38" t="inlineStr">
        <is>
          <t>alicia.williams@yale.edu</t>
        </is>
      </c>
      <c r="I218" s="38" t="inlineStr">
        <is>
          <t>2026-04-02</t>
        </is>
      </c>
      <c r="J218" s="38" t="n"/>
      <c r="K218" s="38" t="inlineStr">
        <is>
          <t>NO</t>
        </is>
      </c>
      <c r="L218" s="39" t="inlineStr">
        <is>
          <t>New Lead</t>
        </is>
      </c>
      <c r="M218" s="38" t="n"/>
      <c r="N218" s="38" t="n"/>
      <c r="O218" s="38" t="n"/>
      <c r="P218" s="38" t="n">
        <v>2500</v>
      </c>
      <c r="Q218" s="38" t="n">
        <v>0</v>
      </c>
      <c r="R218" s="40">
        <f>IF(J218="","",TODAY()-DATE(LEFT(J218,4)*1,MID(J218,6,2)*1,RIGHT(J218,2)*1))</f>
        <v/>
      </c>
    </row>
    <row r="219" ht="18" customHeight="1" s="31">
      <c r="A219" s="34" t="n">
        <v>217</v>
      </c>
      <c r="B219" s="34" t="inlineStr">
        <is>
          <t>Leqi</t>
        </is>
      </c>
      <c r="C219" s="34" t="inlineStr">
        <is>
          <t>Xu</t>
        </is>
      </c>
      <c r="D219" s="34" t="inlineStr">
        <is>
          <t>Yale University</t>
        </is>
      </c>
      <c r="E219" s="34" t="inlineStr">
        <is>
          <t>Public Health</t>
        </is>
      </c>
      <c r="F219" s="35" t="inlineStr">
        <is>
          <t>High</t>
        </is>
      </c>
      <c r="G219" s="35" t="inlineStr">
        <is>
          <t>High</t>
        </is>
      </c>
      <c r="H219" s="34" t="inlineStr">
        <is>
          <t>leqi.xu@yale.edu</t>
        </is>
      </c>
      <c r="I219" s="34" t="inlineStr">
        <is>
          <t>2026-04-02</t>
        </is>
      </c>
      <c r="J219" s="34" t="n"/>
      <c r="K219" s="34" t="inlineStr">
        <is>
          <t>NO</t>
        </is>
      </c>
      <c r="L219" s="36" t="inlineStr">
        <is>
          <t>New Lead</t>
        </is>
      </c>
      <c r="M219" s="34" t="n"/>
      <c r="N219" s="34" t="n"/>
      <c r="O219" s="34" t="n"/>
      <c r="P219" s="34" t="n">
        <v>2500</v>
      </c>
      <c r="Q219" s="34" t="n">
        <v>0</v>
      </c>
      <c r="R219" s="37">
        <f>IF(J219="","",TODAY()-DATE(LEFT(J219,4)*1,MID(J219,6,2)*1,RIGHT(J219,2)*1))</f>
        <v/>
      </c>
    </row>
    <row r="220" ht="18" customHeight="1" s="31">
      <c r="A220" s="38" t="n">
        <v>218</v>
      </c>
      <c r="B220" s="38" t="inlineStr">
        <is>
          <t>Kerry</t>
        </is>
      </c>
      <c r="C220" s="38" t="inlineStr">
        <is>
          <t>Conlin</t>
        </is>
      </c>
      <c r="D220" s="38" t="inlineStr">
        <is>
          <t>Yale University</t>
        </is>
      </c>
      <c r="E220" s="38" t="inlineStr">
        <is>
          <t>Public Health</t>
        </is>
      </c>
      <c r="F220" s="35" t="inlineStr">
        <is>
          <t>High</t>
        </is>
      </c>
      <c r="G220" s="35" t="inlineStr">
        <is>
          <t>High</t>
        </is>
      </c>
      <c r="H220" s="38" t="inlineStr">
        <is>
          <t>kerry.conlin@yale.edu</t>
        </is>
      </c>
      <c r="I220" s="38" t="inlineStr">
        <is>
          <t>2026-04-02</t>
        </is>
      </c>
      <c r="J220" s="38" t="n"/>
      <c r="K220" s="38" t="inlineStr">
        <is>
          <t>NO</t>
        </is>
      </c>
      <c r="L220" s="39" t="inlineStr">
        <is>
          <t>New Lead</t>
        </is>
      </c>
      <c r="M220" s="38" t="n"/>
      <c r="N220" s="38" t="n"/>
      <c r="O220" s="38" t="n"/>
      <c r="P220" s="38" t="n">
        <v>2500</v>
      </c>
      <c r="Q220" s="38" t="n">
        <v>0</v>
      </c>
      <c r="R220" s="40">
        <f>IF(J220="","",TODAY()-DATE(LEFT(J220,4)*1,MID(J220,6,2)*1,RIGHT(J220,2)*1))</f>
        <v/>
      </c>
    </row>
    <row r="221" ht="18" customHeight="1" s="31">
      <c r="A221" s="34" t="n">
        <v>219</v>
      </c>
      <c r="B221" s="34" t="inlineStr">
        <is>
          <t>Mata'uitafa</t>
        </is>
      </c>
      <c r="C221" s="34" t="inlineStr">
        <is>
          <t>Faiai</t>
        </is>
      </c>
      <c r="D221" s="34" t="inlineStr">
        <is>
          <t>Yale University</t>
        </is>
      </c>
      <c r="E221" s="34" t="inlineStr">
        <is>
          <t>Public Health</t>
        </is>
      </c>
      <c r="F221" s="35" t="inlineStr">
        <is>
          <t>High</t>
        </is>
      </c>
      <c r="G221" s="35" t="inlineStr">
        <is>
          <t>High</t>
        </is>
      </c>
      <c r="H221" s="34" t="inlineStr">
        <is>
          <t>matauitafa.faiai@yale.edu</t>
        </is>
      </c>
      <c r="I221" s="34" t="inlineStr">
        <is>
          <t>2026-04-02</t>
        </is>
      </c>
      <c r="J221" s="34" t="n"/>
      <c r="K221" s="34" t="inlineStr">
        <is>
          <t>NO</t>
        </is>
      </c>
      <c r="L221" s="36" t="inlineStr">
        <is>
          <t>New Lead</t>
        </is>
      </c>
      <c r="M221" s="34" t="n"/>
      <c r="N221" s="34" t="n"/>
      <c r="O221" s="34" t="n"/>
      <c r="P221" s="34" t="n">
        <v>2500</v>
      </c>
      <c r="Q221" s="34" t="n">
        <v>0</v>
      </c>
      <c r="R221" s="37">
        <f>IF(J221="","",TODAY()-DATE(LEFT(J221,4)*1,MID(J221,6,2)*1,RIGHT(J221,2)*1))</f>
        <v/>
      </c>
    </row>
    <row r="222" ht="18" customHeight="1" s="31">
      <c r="A222" s="38" t="n">
        <v>220</v>
      </c>
      <c r="B222" s="38" t="inlineStr">
        <is>
          <t>Jiaqi</t>
        </is>
      </c>
      <c r="C222" s="38" t="inlineStr">
        <is>
          <t>Hu</t>
        </is>
      </c>
      <c r="D222" s="38" t="inlineStr">
        <is>
          <t>Yale University</t>
        </is>
      </c>
      <c r="E222" s="38" t="inlineStr">
        <is>
          <t>Public Health</t>
        </is>
      </c>
      <c r="F222" s="35" t="inlineStr">
        <is>
          <t>High</t>
        </is>
      </c>
      <c r="G222" s="35" t="inlineStr">
        <is>
          <t>High</t>
        </is>
      </c>
      <c r="H222" s="38" t="inlineStr">
        <is>
          <t>jiaqi.hu@yale.edu</t>
        </is>
      </c>
      <c r="I222" s="38" t="inlineStr">
        <is>
          <t>2026-04-02</t>
        </is>
      </c>
      <c r="J222" s="38" t="n"/>
      <c r="K222" s="38" t="inlineStr">
        <is>
          <t>NO</t>
        </is>
      </c>
      <c r="L222" s="39" t="inlineStr">
        <is>
          <t>New Lead</t>
        </is>
      </c>
      <c r="M222" s="38" t="n"/>
      <c r="N222" s="38" t="n"/>
      <c r="O222" s="38" t="n"/>
      <c r="P222" s="38" t="n">
        <v>2500</v>
      </c>
      <c r="Q222" s="38" t="n">
        <v>0</v>
      </c>
      <c r="R222" s="40">
        <f>IF(J222="","",TODAY()-DATE(LEFT(J222,4)*1,MID(J222,6,2)*1,RIGHT(J222,2)*1))</f>
        <v/>
      </c>
    </row>
    <row r="223" ht="18" customHeight="1" s="31">
      <c r="A223" s="34" t="n">
        <v>221</v>
      </c>
      <c r="B223" s="34" t="inlineStr">
        <is>
          <t>Stark</t>
        </is>
      </c>
      <c r="C223" s="34" t="inlineStr">
        <is>
          <t>Huang</t>
        </is>
      </c>
      <c r="D223" s="34" t="inlineStr">
        <is>
          <t>Yale University</t>
        </is>
      </c>
      <c r="E223" s="34" t="inlineStr">
        <is>
          <t>Public Health</t>
        </is>
      </c>
      <c r="F223" s="35" t="inlineStr">
        <is>
          <t>High</t>
        </is>
      </c>
      <c r="G223" s="35" t="inlineStr">
        <is>
          <t>High</t>
        </is>
      </c>
      <c r="H223" s="34" t="inlineStr">
        <is>
          <t>stark.huang@yale.edu</t>
        </is>
      </c>
      <c r="I223" s="34" t="inlineStr">
        <is>
          <t>2026-04-02</t>
        </is>
      </c>
      <c r="J223" s="34" t="n"/>
      <c r="K223" s="34" t="inlineStr">
        <is>
          <t>NO</t>
        </is>
      </c>
      <c r="L223" s="36" t="inlineStr">
        <is>
          <t>New Lead</t>
        </is>
      </c>
      <c r="M223" s="34" t="n"/>
      <c r="N223" s="34" t="n"/>
      <c r="O223" s="34" t="n"/>
      <c r="P223" s="34" t="n">
        <v>2500</v>
      </c>
      <c r="Q223" s="34" t="n">
        <v>0</v>
      </c>
      <c r="R223" s="37">
        <f>IF(J223="","",TODAY()-DATE(LEFT(J223,4)*1,MID(J223,6,2)*1,RIGHT(J223,2)*1))</f>
        <v/>
      </c>
    </row>
    <row r="224" ht="18" customHeight="1" s="31">
      <c r="A224" s="38" t="n">
        <v>222</v>
      </c>
      <c r="B224" s="38" t="inlineStr">
        <is>
          <t>Esther</t>
        </is>
      </c>
      <c r="C224" s="38" t="inlineStr">
        <is>
          <t>Kang</t>
        </is>
      </c>
      <c r="D224" s="38" t="inlineStr">
        <is>
          <t>Yale University</t>
        </is>
      </c>
      <c r="E224" s="38" t="inlineStr">
        <is>
          <t>Public Health</t>
        </is>
      </c>
      <c r="F224" s="35" t="inlineStr">
        <is>
          <t>High</t>
        </is>
      </c>
      <c r="G224" s="35" t="inlineStr">
        <is>
          <t>High</t>
        </is>
      </c>
      <c r="H224" s="38" t="inlineStr">
        <is>
          <t>esther.kang@yale.edu</t>
        </is>
      </c>
      <c r="I224" s="38" t="inlineStr">
        <is>
          <t>2026-04-02</t>
        </is>
      </c>
      <c r="J224" s="38" t="n"/>
      <c r="K224" s="38" t="inlineStr">
        <is>
          <t>NO</t>
        </is>
      </c>
      <c r="L224" s="39" t="inlineStr">
        <is>
          <t>New Lead</t>
        </is>
      </c>
      <c r="M224" s="38" t="n"/>
      <c r="N224" s="38" t="n"/>
      <c r="O224" s="38" t="n"/>
      <c r="P224" s="38" t="n">
        <v>2500</v>
      </c>
      <c r="Q224" s="38" t="n">
        <v>0</v>
      </c>
      <c r="R224" s="40">
        <f>IF(J224="","",TODAY()-DATE(LEFT(J224,4)*1,MID(J224,6,2)*1,RIGHT(J224,2)*1))</f>
        <v/>
      </c>
    </row>
    <row r="225" ht="18" customHeight="1" s="31">
      <c r="A225" s="34" t="n">
        <v>223</v>
      </c>
      <c r="B225" s="34" t="inlineStr">
        <is>
          <t>Yining</t>
        </is>
      </c>
      <c r="C225" s="34" t="inlineStr">
        <is>
          <t>Li</t>
        </is>
      </c>
      <c r="D225" s="34" t="inlineStr">
        <is>
          <t>Yale University</t>
        </is>
      </c>
      <c r="E225" s="34" t="inlineStr">
        <is>
          <t>Public Health</t>
        </is>
      </c>
      <c r="F225" s="35" t="inlineStr">
        <is>
          <t>High</t>
        </is>
      </c>
      <c r="G225" s="35" t="inlineStr">
        <is>
          <t>High</t>
        </is>
      </c>
      <c r="H225" s="34" t="inlineStr">
        <is>
          <t>yining.li@yale.edu</t>
        </is>
      </c>
      <c r="I225" s="34" t="inlineStr">
        <is>
          <t>2026-04-02</t>
        </is>
      </c>
      <c r="J225" s="34" t="n"/>
      <c r="K225" s="34" t="inlineStr">
        <is>
          <t>NO</t>
        </is>
      </c>
      <c r="L225" s="36" t="inlineStr">
        <is>
          <t>New Lead</t>
        </is>
      </c>
      <c r="M225" s="34" t="n"/>
      <c r="N225" s="34" t="n"/>
      <c r="O225" s="34" t="n"/>
      <c r="P225" s="34" t="n">
        <v>2500</v>
      </c>
      <c r="Q225" s="34" t="n">
        <v>0</v>
      </c>
      <c r="R225" s="37">
        <f>IF(J225="","",TODAY()-DATE(LEFT(J225,4)*1,MID(J225,6,2)*1,RIGHT(J225,2)*1))</f>
        <v/>
      </c>
    </row>
    <row r="226" ht="18" customHeight="1" s="31">
      <c r="A226" s="38" t="n">
        <v>224</v>
      </c>
      <c r="B226" s="38" t="inlineStr">
        <is>
          <t>Reed</t>
        </is>
      </c>
      <c r="C226" s="38" t="inlineStr">
        <is>
          <t>Mszar</t>
        </is>
      </c>
      <c r="D226" s="38" t="inlineStr">
        <is>
          <t>Yale University</t>
        </is>
      </c>
      <c r="E226" s="38" t="inlineStr">
        <is>
          <t>Public Health</t>
        </is>
      </c>
      <c r="F226" s="35" t="inlineStr">
        <is>
          <t>High</t>
        </is>
      </c>
      <c r="G226" s="35" t="inlineStr">
        <is>
          <t>High</t>
        </is>
      </c>
      <c r="H226" s="38" t="inlineStr">
        <is>
          <t>reed.mszar@yale.edu</t>
        </is>
      </c>
      <c r="I226" s="38" t="inlineStr">
        <is>
          <t>2026-04-02</t>
        </is>
      </c>
      <c r="J226" s="38" t="n"/>
      <c r="K226" s="38" t="inlineStr">
        <is>
          <t>NO</t>
        </is>
      </c>
      <c r="L226" s="39" t="inlineStr">
        <is>
          <t>New Lead</t>
        </is>
      </c>
      <c r="M226" s="38" t="n"/>
      <c r="N226" s="38" t="n"/>
      <c r="O226" s="38" t="n"/>
      <c r="P226" s="38" t="n">
        <v>2500</v>
      </c>
      <c r="Q226" s="38" t="n">
        <v>0</v>
      </c>
      <c r="R226" s="40">
        <f>IF(J226="","",TODAY()-DATE(LEFT(J226,4)*1,MID(J226,6,2)*1,RIGHT(J226,2)*1))</f>
        <v/>
      </c>
    </row>
    <row r="227" ht="18" customHeight="1" s="31">
      <c r="A227" s="34" t="n">
        <v>225</v>
      </c>
      <c r="B227" s="34" t="inlineStr">
        <is>
          <t>Erica</t>
        </is>
      </c>
      <c r="C227" s="34" t="inlineStr">
        <is>
          <t>Salehi</t>
        </is>
      </c>
      <c r="D227" s="34" t="inlineStr">
        <is>
          <t>Yale University</t>
        </is>
      </c>
      <c r="E227" s="34" t="inlineStr">
        <is>
          <t>Public Health</t>
        </is>
      </c>
      <c r="F227" s="35" t="inlineStr">
        <is>
          <t>High</t>
        </is>
      </c>
      <c r="G227" s="35" t="inlineStr">
        <is>
          <t>High</t>
        </is>
      </c>
      <c r="H227" s="34" t="inlineStr">
        <is>
          <t>erica.salehi@yale.edu</t>
        </is>
      </c>
      <c r="I227" s="34" t="inlineStr">
        <is>
          <t>2026-04-02</t>
        </is>
      </c>
      <c r="J227" s="34" t="n"/>
      <c r="K227" s="34" t="inlineStr">
        <is>
          <t>NO</t>
        </is>
      </c>
      <c r="L227" s="36" t="inlineStr">
        <is>
          <t>New Lead</t>
        </is>
      </c>
      <c r="M227" s="34" t="n"/>
      <c r="N227" s="34" t="n"/>
      <c r="O227" s="34" t="n"/>
      <c r="P227" s="34" t="n">
        <v>2500</v>
      </c>
      <c r="Q227" s="34" t="n">
        <v>0</v>
      </c>
      <c r="R227" s="37">
        <f>IF(J227="","",TODAY()-DATE(LEFT(J227,4)*1,MID(J227,6,2)*1,RIGHT(J227,2)*1))</f>
        <v/>
      </c>
    </row>
    <row r="228" ht="18" customHeight="1" s="31">
      <c r="A228" s="38" t="n">
        <v>226</v>
      </c>
      <c r="B228" s="38" t="inlineStr">
        <is>
          <t>Athina</t>
        </is>
      </c>
      <c r="C228" s="38" t="inlineStr">
        <is>
          <t>Lisgara</t>
        </is>
      </c>
      <c r="D228" s="38" t="inlineStr">
        <is>
          <t>Yale University</t>
        </is>
      </c>
      <c r="E228" s="38" t="inlineStr">
        <is>
          <t>Public Health</t>
        </is>
      </c>
      <c r="F228" s="35" t="inlineStr">
        <is>
          <t>High</t>
        </is>
      </c>
      <c r="G228" s="35" t="inlineStr">
        <is>
          <t>High</t>
        </is>
      </c>
      <c r="H228" s="38" t="inlineStr">
        <is>
          <t>athina.lisgara@yale.edu</t>
        </is>
      </c>
      <c r="I228" s="38" t="inlineStr">
        <is>
          <t>2026-04-02</t>
        </is>
      </c>
      <c r="J228" s="38" t="n"/>
      <c r="K228" s="38" t="inlineStr">
        <is>
          <t>NO</t>
        </is>
      </c>
      <c r="L228" s="39" t="inlineStr">
        <is>
          <t>New Lead</t>
        </is>
      </c>
      <c r="M228" s="38" t="n"/>
      <c r="N228" s="38" t="n"/>
      <c r="O228" s="38" t="n"/>
      <c r="P228" s="38" t="n">
        <v>2500</v>
      </c>
      <c r="Q228" s="38" t="n">
        <v>0</v>
      </c>
      <c r="R228" s="40">
        <f>IF(J228="","",TODAY()-DATE(LEFT(J228,4)*1,MID(J228,6,2)*1,RIGHT(J228,2)*1))</f>
        <v/>
      </c>
    </row>
    <row r="229" ht="18" customHeight="1" s="31">
      <c r="A229" s="34" t="n">
        <v>227</v>
      </c>
      <c r="B229" s="34" t="inlineStr">
        <is>
          <t>Xinyi</t>
        </is>
      </c>
      <c r="C229" s="34" t="inlineStr">
        <is>
          <t>Shen</t>
        </is>
      </c>
      <c r="D229" s="34" t="inlineStr">
        <is>
          <t>Yale University</t>
        </is>
      </c>
      <c r="E229" s="34" t="inlineStr">
        <is>
          <t>Public Health</t>
        </is>
      </c>
      <c r="F229" s="35" t="inlineStr">
        <is>
          <t>High</t>
        </is>
      </c>
      <c r="G229" s="35" t="inlineStr">
        <is>
          <t>High</t>
        </is>
      </c>
      <c r="H229" s="34" t="inlineStr">
        <is>
          <t>xinyi.shen@yale.edu</t>
        </is>
      </c>
      <c r="I229" s="34" t="inlineStr">
        <is>
          <t>2026-04-02</t>
        </is>
      </c>
      <c r="J229" s="34" t="n"/>
      <c r="K229" s="34" t="inlineStr">
        <is>
          <t>NO</t>
        </is>
      </c>
      <c r="L229" s="36" t="inlineStr">
        <is>
          <t>New Lead</t>
        </is>
      </c>
      <c r="M229" s="34" t="n"/>
      <c r="N229" s="34" t="n"/>
      <c r="O229" s="34" t="n"/>
      <c r="P229" s="34" t="n">
        <v>2500</v>
      </c>
      <c r="Q229" s="34" t="n">
        <v>0</v>
      </c>
      <c r="R229" s="37">
        <f>IF(J229="","",TODAY()-DATE(LEFT(J229,4)*1,MID(J229,6,2)*1,RIGHT(J229,2)*1))</f>
        <v/>
      </c>
    </row>
    <row r="230" ht="18" customHeight="1" s="31">
      <c r="A230" s="38" t="n">
        <v>228</v>
      </c>
      <c r="B230" s="38" t="inlineStr">
        <is>
          <t>Jieqiong</t>
        </is>
      </c>
      <c r="C230" s="38" t="inlineStr">
        <is>
          <t>Zhou</t>
        </is>
      </c>
      <c r="D230" s="38" t="inlineStr">
        <is>
          <t>Yale University</t>
        </is>
      </c>
      <c r="E230" s="38" t="inlineStr">
        <is>
          <t>Public Health</t>
        </is>
      </c>
      <c r="F230" s="35" t="inlineStr">
        <is>
          <t>High</t>
        </is>
      </c>
      <c r="G230" s="35" t="inlineStr">
        <is>
          <t>High</t>
        </is>
      </c>
      <c r="H230" s="38" t="inlineStr">
        <is>
          <t>jieqiong.zhou@yale.edu</t>
        </is>
      </c>
      <c r="I230" s="38" t="inlineStr">
        <is>
          <t>2026-04-02</t>
        </is>
      </c>
      <c r="J230" s="38" t="n"/>
      <c r="K230" s="38" t="inlineStr">
        <is>
          <t>NO</t>
        </is>
      </c>
      <c r="L230" s="39" t="inlineStr">
        <is>
          <t>New Lead</t>
        </is>
      </c>
      <c r="M230" s="38" t="n"/>
      <c r="N230" s="38" t="n"/>
      <c r="O230" s="38" t="n"/>
      <c r="P230" s="38" t="n">
        <v>2500</v>
      </c>
      <c r="Q230" s="38" t="n">
        <v>0</v>
      </c>
      <c r="R230" s="40">
        <f>IF(J230="","",TODAY()-DATE(LEFT(J230,4)*1,MID(J230,6,2)*1,RIGHT(J230,2)*1))</f>
        <v/>
      </c>
    </row>
    <row r="231" ht="18" customHeight="1" s="31">
      <c r="A231" s="34" t="n">
        <v>229</v>
      </c>
      <c r="B231" s="34" t="inlineStr">
        <is>
          <t>Chiedozie</t>
        </is>
      </c>
      <c r="C231" s="34" t="inlineStr">
        <is>
          <t>Arum</t>
        </is>
      </c>
      <c r="D231" s="34" t="inlineStr">
        <is>
          <t>Yale University</t>
        </is>
      </c>
      <c r="E231" s="34" t="inlineStr">
        <is>
          <t>Public Health</t>
        </is>
      </c>
      <c r="F231" s="35" t="inlineStr">
        <is>
          <t>High</t>
        </is>
      </c>
      <c r="G231" s="35" t="inlineStr">
        <is>
          <t>High</t>
        </is>
      </c>
      <c r="H231" s="34" t="inlineStr">
        <is>
          <t>chiedozie.arum@yale.edu</t>
        </is>
      </c>
      <c r="I231" s="34" t="inlineStr">
        <is>
          <t>2026-04-02</t>
        </is>
      </c>
      <c r="J231" s="34" t="n"/>
      <c r="K231" s="34" t="inlineStr">
        <is>
          <t>NO</t>
        </is>
      </c>
      <c r="L231" s="36" t="inlineStr">
        <is>
          <t>New Lead</t>
        </is>
      </c>
      <c r="M231" s="34" t="n"/>
      <c r="N231" s="34" t="n"/>
      <c r="O231" s="34" t="n"/>
      <c r="P231" s="34" t="n">
        <v>2500</v>
      </c>
      <c r="Q231" s="34" t="n">
        <v>0</v>
      </c>
      <c r="R231" s="37">
        <f>IF(J231="","",TODAY()-DATE(LEFT(J231,4)*1,MID(J231,6,2)*1,RIGHT(J231,2)*1))</f>
        <v/>
      </c>
    </row>
    <row r="232" ht="18" customHeight="1" s="31">
      <c r="A232" s="38" t="n">
        <v>230</v>
      </c>
      <c r="B232" s="38" t="inlineStr">
        <is>
          <t>Gladys</t>
        </is>
      </c>
      <c r="C232" s="38" t="inlineStr">
        <is>
          <t>Atim</t>
        </is>
      </c>
      <c r="D232" s="38" t="inlineStr">
        <is>
          <t>Yale University</t>
        </is>
      </c>
      <c r="E232" s="38" t="inlineStr">
        <is>
          <t>Public Health</t>
        </is>
      </c>
      <c r="F232" s="35" t="inlineStr">
        <is>
          <t>High</t>
        </is>
      </c>
      <c r="G232" s="35" t="inlineStr">
        <is>
          <t>High</t>
        </is>
      </c>
      <c r="H232" s="38" t="inlineStr">
        <is>
          <t>gladys.atim@yale.edu</t>
        </is>
      </c>
      <c r="I232" s="38" t="inlineStr">
        <is>
          <t>2026-04-02</t>
        </is>
      </c>
      <c r="J232" s="38" t="n"/>
      <c r="K232" s="38" t="inlineStr">
        <is>
          <t>NO</t>
        </is>
      </c>
      <c r="L232" s="39" t="inlineStr">
        <is>
          <t>New Lead</t>
        </is>
      </c>
      <c r="M232" s="38" t="n"/>
      <c r="N232" s="38" t="n"/>
      <c r="O232" s="38" t="n"/>
      <c r="P232" s="38" t="n">
        <v>2500</v>
      </c>
      <c r="Q232" s="38" t="n">
        <v>0</v>
      </c>
      <c r="R232" s="40">
        <f>IF(J232="","",TODAY()-DATE(LEFT(J232,4)*1,MID(J232,6,2)*1,RIGHT(J232,2)*1))</f>
        <v/>
      </c>
    </row>
    <row r="233" ht="18" customHeight="1" s="31">
      <c r="A233" s="34" t="n">
        <v>231</v>
      </c>
      <c r="B233" s="34" t="inlineStr">
        <is>
          <t>Donald</t>
        </is>
      </c>
      <c r="C233" s="34" t="inlineStr">
        <is>
          <t>Brooks</t>
        </is>
      </c>
      <c r="D233" s="34" t="inlineStr">
        <is>
          <t>Yale University</t>
        </is>
      </c>
      <c r="E233" s="34" t="inlineStr">
        <is>
          <t>Public Health</t>
        </is>
      </c>
      <c r="F233" s="35" t="inlineStr">
        <is>
          <t>High</t>
        </is>
      </c>
      <c r="G233" s="35" t="inlineStr">
        <is>
          <t>High</t>
        </is>
      </c>
      <c r="H233" s="34" t="inlineStr">
        <is>
          <t>donald.brooks@yale.edu</t>
        </is>
      </c>
      <c r="I233" s="34" t="inlineStr">
        <is>
          <t>2026-04-02</t>
        </is>
      </c>
      <c r="J233" s="34" t="n"/>
      <c r="K233" s="34" t="inlineStr">
        <is>
          <t>NO</t>
        </is>
      </c>
      <c r="L233" s="36" t="inlineStr">
        <is>
          <t>New Lead</t>
        </is>
      </c>
      <c r="M233" s="34" t="n"/>
      <c r="N233" s="34" t="n"/>
      <c r="O233" s="34" t="n"/>
      <c r="P233" s="34" t="n">
        <v>2500</v>
      </c>
      <c r="Q233" s="34" t="n">
        <v>0</v>
      </c>
      <c r="R233" s="37">
        <f>IF(J233="","",TODAY()-DATE(LEFT(J233,4)*1,MID(J233,6,2)*1,RIGHT(J233,2)*1))</f>
        <v/>
      </c>
    </row>
    <row r="234" ht="18" customHeight="1" s="31">
      <c r="A234" s="38" t="n">
        <v>232</v>
      </c>
      <c r="B234" s="38" t="inlineStr">
        <is>
          <t>Jack</t>
        </is>
      </c>
      <c r="C234" s="38" t="inlineStr">
        <is>
          <t>Carew</t>
        </is>
      </c>
      <c r="D234" s="38" t="inlineStr">
        <is>
          <t>Yale University</t>
        </is>
      </c>
      <c r="E234" s="38" t="inlineStr">
        <is>
          <t>Public Health</t>
        </is>
      </c>
      <c r="F234" s="35" t="inlineStr">
        <is>
          <t>High</t>
        </is>
      </c>
      <c r="G234" s="35" t="inlineStr">
        <is>
          <t>High</t>
        </is>
      </c>
      <c r="H234" s="38" t="inlineStr">
        <is>
          <t>jack.carew@yale.edu</t>
        </is>
      </c>
      <c r="I234" s="38" t="inlineStr">
        <is>
          <t>2026-04-02</t>
        </is>
      </c>
      <c r="J234" s="38" t="n"/>
      <c r="K234" s="38" t="inlineStr">
        <is>
          <t>NO</t>
        </is>
      </c>
      <c r="L234" s="39" t="inlineStr">
        <is>
          <t>New Lead</t>
        </is>
      </c>
      <c r="M234" s="38" t="n"/>
      <c r="N234" s="38" t="n"/>
      <c r="O234" s="38" t="n"/>
      <c r="P234" s="38" t="n">
        <v>2500</v>
      </c>
      <c r="Q234" s="38" t="n">
        <v>0</v>
      </c>
      <c r="R234" s="40">
        <f>IF(J234="","",TODAY()-DATE(LEFT(J234,4)*1,MID(J234,6,2)*1,RIGHT(J234,2)*1))</f>
        <v/>
      </c>
    </row>
    <row r="235" ht="18" customHeight="1" s="31">
      <c r="A235" s="34" t="n">
        <v>233</v>
      </c>
      <c r="B235" s="34" t="inlineStr">
        <is>
          <t>Kelly</t>
        </is>
      </c>
      <c r="C235" s="34" t="inlineStr">
        <is>
          <t>Hagadorn</t>
        </is>
      </c>
      <c r="D235" s="34" t="inlineStr">
        <is>
          <t>Yale University</t>
        </is>
      </c>
      <c r="E235" s="34" t="inlineStr">
        <is>
          <t>Public Health</t>
        </is>
      </c>
      <c r="F235" s="35" t="inlineStr">
        <is>
          <t>High</t>
        </is>
      </c>
      <c r="G235" s="35" t="inlineStr">
        <is>
          <t>High</t>
        </is>
      </c>
      <c r="H235" s="34" t="inlineStr">
        <is>
          <t>kelly.hagadorn@yale.edu</t>
        </is>
      </c>
      <c r="I235" s="34" t="inlineStr">
        <is>
          <t>2026-04-02</t>
        </is>
      </c>
      <c r="J235" s="34" t="n"/>
      <c r="K235" s="34" t="inlineStr">
        <is>
          <t>NO</t>
        </is>
      </c>
      <c r="L235" s="36" t="inlineStr">
        <is>
          <t>New Lead</t>
        </is>
      </c>
      <c r="M235" s="34" t="n"/>
      <c r="N235" s="34" t="n"/>
      <c r="O235" s="34" t="n"/>
      <c r="P235" s="34" t="n">
        <v>2500</v>
      </c>
      <c r="Q235" s="34" t="n">
        <v>0</v>
      </c>
      <c r="R235" s="37">
        <f>IF(J235="","",TODAY()-DATE(LEFT(J235,4)*1,MID(J235,6,2)*1,RIGHT(J235,2)*1))</f>
        <v/>
      </c>
    </row>
    <row r="236" ht="18" customHeight="1" s="31">
      <c r="A236" s="38" t="n">
        <v>234</v>
      </c>
      <c r="B236" s="38" t="inlineStr">
        <is>
          <t>Katie</t>
        </is>
      </c>
      <c r="C236" s="38" t="inlineStr">
        <is>
          <t>Hill</t>
        </is>
      </c>
      <c r="D236" s="38" t="inlineStr">
        <is>
          <t>Yale University</t>
        </is>
      </c>
      <c r="E236" s="38" t="inlineStr">
        <is>
          <t>Public Health</t>
        </is>
      </c>
      <c r="F236" s="35" t="inlineStr">
        <is>
          <t>High</t>
        </is>
      </c>
      <c r="G236" s="35" t="inlineStr">
        <is>
          <t>High</t>
        </is>
      </c>
      <c r="H236" s="38" t="inlineStr">
        <is>
          <t>k.hill@yale.edu</t>
        </is>
      </c>
      <c r="I236" s="38" t="inlineStr">
        <is>
          <t>2026-04-02</t>
        </is>
      </c>
      <c r="J236" s="38" t="n"/>
      <c r="K236" s="38" t="inlineStr">
        <is>
          <t>NO</t>
        </is>
      </c>
      <c r="L236" s="39" t="inlineStr">
        <is>
          <t>New Lead</t>
        </is>
      </c>
      <c r="M236" s="38" t="n"/>
      <c r="N236" s="38" t="n"/>
      <c r="O236" s="38" t="n"/>
      <c r="P236" s="38" t="n">
        <v>2500</v>
      </c>
      <c r="Q236" s="38" t="n">
        <v>0</v>
      </c>
      <c r="R236" s="40">
        <f>IF(J236="","",TODAY()-DATE(LEFT(J236,4)*1,MID(J236,6,2)*1,RIGHT(J236,2)*1))</f>
        <v/>
      </c>
    </row>
    <row r="237" ht="18" customHeight="1" s="31">
      <c r="A237" s="34" t="n">
        <v>235</v>
      </c>
      <c r="B237" s="34" t="inlineStr">
        <is>
          <t>Jiye</t>
        </is>
      </c>
      <c r="C237" s="34" t="inlineStr">
        <is>
          <t>Kwon</t>
        </is>
      </c>
      <c r="D237" s="34" t="inlineStr">
        <is>
          <t>Yale University</t>
        </is>
      </c>
      <c r="E237" s="34" t="inlineStr">
        <is>
          <t>Public Health</t>
        </is>
      </c>
      <c r="F237" s="35" t="inlineStr">
        <is>
          <t>High</t>
        </is>
      </c>
      <c r="G237" s="35" t="inlineStr">
        <is>
          <t>High</t>
        </is>
      </c>
      <c r="H237" s="34" t="inlineStr">
        <is>
          <t>jiye.kwon@yale.edu</t>
        </is>
      </c>
      <c r="I237" s="34" t="inlineStr">
        <is>
          <t>2026-04-02</t>
        </is>
      </c>
      <c r="J237" s="34" t="n"/>
      <c r="K237" s="34" t="inlineStr">
        <is>
          <t>NO</t>
        </is>
      </c>
      <c r="L237" s="36" t="inlineStr">
        <is>
          <t>New Lead</t>
        </is>
      </c>
      <c r="M237" s="34" t="n"/>
      <c r="N237" s="34" t="n"/>
      <c r="O237" s="34" t="n"/>
      <c r="P237" s="34" t="n">
        <v>2500</v>
      </c>
      <c r="Q237" s="34" t="n">
        <v>0</v>
      </c>
      <c r="R237" s="37">
        <f>IF(J237="","",TODAY()-DATE(LEFT(J237,4)*1,MID(J237,6,2)*1,RIGHT(J237,2)*1))</f>
        <v/>
      </c>
    </row>
    <row r="238" ht="18" customHeight="1" s="31">
      <c r="A238" s="38" t="n">
        <v>236</v>
      </c>
      <c r="B238" s="38" t="inlineStr">
        <is>
          <t>Torre</t>
        </is>
      </c>
      <c r="C238" s="38" t="inlineStr">
        <is>
          <t>Lavelle</t>
        </is>
      </c>
      <c r="D238" s="38" t="inlineStr">
        <is>
          <t>Yale University</t>
        </is>
      </c>
      <c r="E238" s="38" t="inlineStr">
        <is>
          <t>Public Health</t>
        </is>
      </c>
      <c r="F238" s="35" t="inlineStr">
        <is>
          <t>High</t>
        </is>
      </c>
      <c r="G238" s="35" t="inlineStr">
        <is>
          <t>High</t>
        </is>
      </c>
      <c r="H238" s="38" t="inlineStr">
        <is>
          <t>torre.lavelle@yale.edu</t>
        </is>
      </c>
      <c r="I238" s="38" t="inlineStr">
        <is>
          <t>2026-04-02</t>
        </is>
      </c>
      <c r="J238" s="38" t="n"/>
      <c r="K238" s="38" t="inlineStr">
        <is>
          <t>NO</t>
        </is>
      </c>
      <c r="L238" s="39" t="inlineStr">
        <is>
          <t>New Lead</t>
        </is>
      </c>
      <c r="M238" s="38" t="n"/>
      <c r="N238" s="38" t="n"/>
      <c r="O238" s="38" t="n"/>
      <c r="P238" s="38" t="n">
        <v>2500</v>
      </c>
      <c r="Q238" s="38" t="n">
        <v>0</v>
      </c>
      <c r="R238" s="40">
        <f>IF(J238="","",TODAY()-DATE(LEFT(J238,4)*1,MID(J238,6,2)*1,RIGHT(J238,2)*1))</f>
        <v/>
      </c>
    </row>
    <row r="239" ht="18" customHeight="1" s="31">
      <c r="A239" s="34" t="n">
        <v>237</v>
      </c>
      <c r="B239" s="34" t="inlineStr">
        <is>
          <t>Elisabeth</t>
        </is>
      </c>
      <c r="C239" s="34" t="inlineStr">
        <is>
          <t>Nelson</t>
        </is>
      </c>
      <c r="D239" s="34" t="inlineStr">
        <is>
          <t>Yale University</t>
        </is>
      </c>
      <c r="E239" s="34" t="inlineStr">
        <is>
          <t>Public Health</t>
        </is>
      </c>
      <c r="F239" s="35" t="inlineStr">
        <is>
          <t>High</t>
        </is>
      </c>
      <c r="G239" s="35" t="inlineStr">
        <is>
          <t>High</t>
        </is>
      </c>
      <c r="H239" s="34" t="inlineStr">
        <is>
          <t>elisabeth.nelson@yale.edu</t>
        </is>
      </c>
      <c r="I239" s="34" t="inlineStr">
        <is>
          <t>2026-04-02</t>
        </is>
      </c>
      <c r="J239" s="34" t="n"/>
      <c r="K239" s="34" t="inlineStr">
        <is>
          <t>NO</t>
        </is>
      </c>
      <c r="L239" s="36" t="inlineStr">
        <is>
          <t>New Lead</t>
        </is>
      </c>
      <c r="M239" s="34" t="n"/>
      <c r="N239" s="34" t="n"/>
      <c r="O239" s="34" t="n"/>
      <c r="P239" s="34" t="n">
        <v>2500</v>
      </c>
      <c r="Q239" s="34" t="n">
        <v>0</v>
      </c>
      <c r="R239" s="37">
        <f>IF(J239="","",TODAY()-DATE(LEFT(J239,4)*1,MID(J239,6,2)*1,RIGHT(J239,2)*1))</f>
        <v/>
      </c>
    </row>
    <row r="240" ht="18" customHeight="1" s="31">
      <c r="A240" s="38" t="n">
        <v>238</v>
      </c>
      <c r="B240" s="38" t="inlineStr">
        <is>
          <t>Matthew</t>
        </is>
      </c>
      <c r="C240" s="38" t="inlineStr">
        <is>
          <t>Ponticiello</t>
        </is>
      </c>
      <c r="D240" s="38" t="inlineStr">
        <is>
          <t>Yale University</t>
        </is>
      </c>
      <c r="E240" s="38" t="inlineStr">
        <is>
          <t>Public Health</t>
        </is>
      </c>
      <c r="F240" s="35" t="inlineStr">
        <is>
          <t>High</t>
        </is>
      </c>
      <c r="G240" s="35" t="inlineStr">
        <is>
          <t>High</t>
        </is>
      </c>
      <c r="H240" s="38" t="inlineStr">
        <is>
          <t>matthew.ponticiello@yale.edu</t>
        </is>
      </c>
      <c r="I240" s="38" t="inlineStr">
        <is>
          <t>2026-04-02</t>
        </is>
      </c>
      <c r="J240" s="38" t="n"/>
      <c r="K240" s="38" t="inlineStr">
        <is>
          <t>NO</t>
        </is>
      </c>
      <c r="L240" s="39" t="inlineStr">
        <is>
          <t>New Lead</t>
        </is>
      </c>
      <c r="M240" s="38" t="n"/>
      <c r="N240" s="38" t="n"/>
      <c r="O240" s="38" t="n"/>
      <c r="P240" s="38" t="n">
        <v>2500</v>
      </c>
      <c r="Q240" s="38" t="n">
        <v>0</v>
      </c>
      <c r="R240" s="40">
        <f>IF(J240="","",TODAY()-DATE(LEFT(J240,4)*1,MID(J240,6,2)*1,RIGHT(J240,2)*1))</f>
        <v/>
      </c>
    </row>
    <row r="241" ht="18" customHeight="1" s="31">
      <c r="A241" s="34" t="n">
        <v>239</v>
      </c>
      <c r="B241" s="34" t="inlineStr">
        <is>
          <t>Savanna</t>
        </is>
      </c>
      <c r="C241" s="34" t="inlineStr">
        <is>
          <t>Randi</t>
        </is>
      </c>
      <c r="D241" s="34" t="inlineStr">
        <is>
          <t>Yale University</t>
        </is>
      </c>
      <c r="E241" s="34" t="inlineStr">
        <is>
          <t>Public Health</t>
        </is>
      </c>
      <c r="F241" s="35" t="inlineStr">
        <is>
          <t>High</t>
        </is>
      </c>
      <c r="G241" s="35" t="inlineStr">
        <is>
          <t>High</t>
        </is>
      </c>
      <c r="H241" s="34" t="inlineStr">
        <is>
          <t>savanna.randi@yale.edu</t>
        </is>
      </c>
      <c r="I241" s="34" t="inlineStr">
        <is>
          <t>2026-04-02</t>
        </is>
      </c>
      <c r="J241" s="34" t="n"/>
      <c r="K241" s="34" t="inlineStr">
        <is>
          <t>NO</t>
        </is>
      </c>
      <c r="L241" s="36" t="inlineStr">
        <is>
          <t>New Lead</t>
        </is>
      </c>
      <c r="M241" s="34" t="n"/>
      <c r="N241" s="34" t="n"/>
      <c r="O241" s="34" t="n"/>
      <c r="P241" s="34" t="n">
        <v>2500</v>
      </c>
      <c r="Q241" s="34" t="n">
        <v>0</v>
      </c>
      <c r="R241" s="37">
        <f>IF(J241="","",TODAY()-DATE(LEFT(J241,4)*1,MID(J241,6,2)*1,RIGHT(J241,2)*1))</f>
        <v/>
      </c>
    </row>
    <row r="242" ht="18" customHeight="1" s="31">
      <c r="A242" s="38" t="n">
        <v>240</v>
      </c>
      <c r="B242" s="38" t="inlineStr">
        <is>
          <t>Natasha</t>
        </is>
      </c>
      <c r="C242" s="38" t="inlineStr">
        <is>
          <t>Turyasingura</t>
        </is>
      </c>
      <c r="D242" s="38" t="inlineStr">
        <is>
          <t>Yale University</t>
        </is>
      </c>
      <c r="E242" s="38" t="inlineStr">
        <is>
          <t>Public Health</t>
        </is>
      </c>
      <c r="F242" s="35" t="inlineStr">
        <is>
          <t>High</t>
        </is>
      </c>
      <c r="G242" s="35" t="inlineStr">
        <is>
          <t>High</t>
        </is>
      </c>
      <c r="H242" s="38" t="inlineStr">
        <is>
          <t>natasha.turyasingura@yale.edu</t>
        </is>
      </c>
      <c r="I242" s="38" t="inlineStr">
        <is>
          <t>2026-04-02</t>
        </is>
      </c>
      <c r="J242" s="38" t="n"/>
      <c r="K242" s="38" t="inlineStr">
        <is>
          <t>NO</t>
        </is>
      </c>
      <c r="L242" s="39" t="inlineStr">
        <is>
          <t>New Lead</t>
        </is>
      </c>
      <c r="M242" s="38" t="n"/>
      <c r="N242" s="38" t="n"/>
      <c r="O242" s="38" t="n"/>
      <c r="P242" s="38" t="n">
        <v>2500</v>
      </c>
      <c r="Q242" s="38" t="n">
        <v>0</v>
      </c>
      <c r="R242" s="40">
        <f>IF(J242="","",TODAY()-DATE(LEFT(J242,4)*1,MID(J242,6,2)*1,RIGHT(J242,2)*1))</f>
        <v/>
      </c>
    </row>
    <row r="243" ht="18" customHeight="1" s="31">
      <c r="A243" s="34" t="n">
        <v>241</v>
      </c>
      <c r="B243" s="34" t="inlineStr">
        <is>
          <t>Atalay</t>
        </is>
      </c>
      <c r="C243" s="34" t="inlineStr">
        <is>
          <t>Demiray</t>
        </is>
      </c>
      <c r="D243" s="34" t="inlineStr">
        <is>
          <t>Yale University</t>
        </is>
      </c>
      <c r="E243" s="34" t="inlineStr">
        <is>
          <t>Public Health</t>
        </is>
      </c>
      <c r="F243" s="35" t="inlineStr">
        <is>
          <t>High</t>
        </is>
      </c>
      <c r="G243" s="35" t="inlineStr">
        <is>
          <t>High</t>
        </is>
      </c>
      <c r="H243" s="34" t="inlineStr">
        <is>
          <t>atalay.demiray@yale.edu</t>
        </is>
      </c>
      <c r="I243" s="34" t="inlineStr">
        <is>
          <t>2026-04-02</t>
        </is>
      </c>
      <c r="J243" s="34" t="n"/>
      <c r="K243" s="34" t="inlineStr">
        <is>
          <t>NO</t>
        </is>
      </c>
      <c r="L243" s="36" t="inlineStr">
        <is>
          <t>New Lead</t>
        </is>
      </c>
      <c r="M243" s="34" t="n"/>
      <c r="N243" s="34" t="n"/>
      <c r="O243" s="34" t="n"/>
      <c r="P243" s="34" t="n">
        <v>2500</v>
      </c>
      <c r="Q243" s="34" t="n">
        <v>0</v>
      </c>
      <c r="R243" s="37">
        <f>IF(J243="","",TODAY()-DATE(LEFT(J243,4)*1,MID(J243,6,2)*1,RIGHT(J243,2)*1))</f>
        <v/>
      </c>
    </row>
    <row r="244" ht="18" customHeight="1" s="31">
      <c r="A244" s="38" t="n">
        <v>242</v>
      </c>
      <c r="B244" s="38" t="inlineStr">
        <is>
          <t>Kyle</t>
        </is>
      </c>
      <c r="C244" s="38" t="inlineStr">
        <is>
          <t>Gavulic</t>
        </is>
      </c>
      <c r="D244" s="38" t="inlineStr">
        <is>
          <t>Yale University</t>
        </is>
      </c>
      <c r="E244" s="38" t="inlineStr">
        <is>
          <t>Public Health</t>
        </is>
      </c>
      <c r="F244" s="35" t="inlineStr">
        <is>
          <t>High</t>
        </is>
      </c>
      <c r="G244" s="35" t="inlineStr">
        <is>
          <t>High</t>
        </is>
      </c>
      <c r="H244" s="38" t="inlineStr">
        <is>
          <t>kyle.gavulic@yale.edu</t>
        </is>
      </c>
      <c r="I244" s="38" t="inlineStr">
        <is>
          <t>2026-04-02</t>
        </is>
      </c>
      <c r="J244" s="38" t="n"/>
      <c r="K244" s="38" t="inlineStr">
        <is>
          <t>NO</t>
        </is>
      </c>
      <c r="L244" s="39" t="inlineStr">
        <is>
          <t>New Lead</t>
        </is>
      </c>
      <c r="M244" s="38" t="n"/>
      <c r="N244" s="38" t="n"/>
      <c r="O244" s="38" t="n"/>
      <c r="P244" s="38" t="n">
        <v>2500</v>
      </c>
      <c r="Q244" s="38" t="n">
        <v>0</v>
      </c>
      <c r="R244" s="40">
        <f>IF(J244="","",TODAY()-DATE(LEFT(J244,4)*1,MID(J244,6,2)*1,RIGHT(J244,2)*1))</f>
        <v/>
      </c>
    </row>
    <row r="245" ht="18" customHeight="1" s="31">
      <c r="A245" s="34" t="n">
        <v>243</v>
      </c>
      <c r="B245" s="34" t="inlineStr">
        <is>
          <t>Stephanie</t>
        </is>
      </c>
      <c r="C245" s="34" t="inlineStr">
        <is>
          <t>Horsfall</t>
        </is>
      </c>
      <c r="D245" s="34" t="inlineStr">
        <is>
          <t>Yale University</t>
        </is>
      </c>
      <c r="E245" s="34" t="inlineStr">
        <is>
          <t>Public Health</t>
        </is>
      </c>
      <c r="F245" s="35" t="inlineStr">
        <is>
          <t>High</t>
        </is>
      </c>
      <c r="G245" s="35" t="inlineStr">
        <is>
          <t>High</t>
        </is>
      </c>
      <c r="H245" s="34" t="inlineStr">
        <is>
          <t>stephanie.horsfall@yale.edu</t>
        </is>
      </c>
      <c r="I245" s="34" t="inlineStr">
        <is>
          <t>2026-04-02</t>
        </is>
      </c>
      <c r="J245" s="34" t="n"/>
      <c r="K245" s="34" t="inlineStr">
        <is>
          <t>NO</t>
        </is>
      </c>
      <c r="L245" s="36" t="inlineStr">
        <is>
          <t>New Lead</t>
        </is>
      </c>
      <c r="M245" s="34" t="n"/>
      <c r="N245" s="34" t="n"/>
      <c r="O245" s="34" t="n"/>
      <c r="P245" s="34" t="n">
        <v>2500</v>
      </c>
      <c r="Q245" s="34" t="n">
        <v>0</v>
      </c>
      <c r="R245" s="37">
        <f>IF(J245="","",TODAY()-DATE(LEFT(J245,4)*1,MID(J245,6,2)*1,RIGHT(J245,2)*1))</f>
        <v/>
      </c>
    </row>
    <row r="246" ht="18" customHeight="1" s="31">
      <c r="A246" s="38" t="n">
        <v>244</v>
      </c>
      <c r="B246" s="38" t="inlineStr">
        <is>
          <t>Ruijie</t>
        </is>
      </c>
      <c r="C246" s="38" t="inlineStr">
        <is>
          <t>Liu</t>
        </is>
      </c>
      <c r="D246" s="38" t="inlineStr">
        <is>
          <t>Yale University</t>
        </is>
      </c>
      <c r="E246" s="38" t="inlineStr">
        <is>
          <t>Public Health</t>
        </is>
      </c>
      <c r="F246" s="35" t="inlineStr">
        <is>
          <t>High</t>
        </is>
      </c>
      <c r="G246" s="35" t="inlineStr">
        <is>
          <t>High</t>
        </is>
      </c>
      <c r="H246" s="38" t="inlineStr">
        <is>
          <t>ruijie.liu@yale.edu</t>
        </is>
      </c>
      <c r="I246" s="38" t="inlineStr">
        <is>
          <t>2026-04-02</t>
        </is>
      </c>
      <c r="J246" s="38" t="n"/>
      <c r="K246" s="38" t="inlineStr">
        <is>
          <t>NO</t>
        </is>
      </c>
      <c r="L246" s="39" t="inlineStr">
        <is>
          <t>New Lead</t>
        </is>
      </c>
      <c r="M246" s="38" t="n"/>
      <c r="N246" s="38" t="n"/>
      <c r="O246" s="38" t="n"/>
      <c r="P246" s="38" t="n">
        <v>2500</v>
      </c>
      <c r="Q246" s="38" t="n">
        <v>0</v>
      </c>
      <c r="R246" s="40">
        <f>IF(J246="","",TODAY()-DATE(LEFT(J246,4)*1,MID(J246,6,2)*1,RIGHT(J246,2)*1))</f>
        <v/>
      </c>
    </row>
    <row r="247" ht="18" customHeight="1" s="31">
      <c r="A247" s="34" t="n">
        <v>245</v>
      </c>
      <c r="B247" s="34" t="inlineStr">
        <is>
          <t>Emily</t>
        </is>
      </c>
      <c r="C247" s="34" t="inlineStr">
        <is>
          <t>Ma</t>
        </is>
      </c>
      <c r="D247" s="34" t="inlineStr">
        <is>
          <t>Yale University</t>
        </is>
      </c>
      <c r="E247" s="34" t="inlineStr">
        <is>
          <t>Public Health</t>
        </is>
      </c>
      <c r="F247" s="35" t="inlineStr">
        <is>
          <t>High</t>
        </is>
      </c>
      <c r="G247" s="35" t="inlineStr">
        <is>
          <t>High</t>
        </is>
      </c>
      <c r="H247" s="34" t="inlineStr">
        <is>
          <t>emily.ma.ecm87@yale.edu</t>
        </is>
      </c>
      <c r="I247" s="34" t="inlineStr">
        <is>
          <t>2026-04-02</t>
        </is>
      </c>
      <c r="J247" s="34" t="n"/>
      <c r="K247" s="34" t="inlineStr">
        <is>
          <t>NO</t>
        </is>
      </c>
      <c r="L247" s="36" t="inlineStr">
        <is>
          <t>New Lead</t>
        </is>
      </c>
      <c r="M247" s="34" t="n"/>
      <c r="N247" s="34" t="n"/>
      <c r="O247" s="34" t="n"/>
      <c r="P247" s="34" t="n">
        <v>2500</v>
      </c>
      <c r="Q247" s="34" t="n">
        <v>0</v>
      </c>
      <c r="R247" s="37">
        <f>IF(J247="","",TODAY()-DATE(LEFT(J247,4)*1,MID(J247,6,2)*1,RIGHT(J247,2)*1))</f>
        <v/>
      </c>
    </row>
    <row r="248" ht="18" customHeight="1" s="31">
      <c r="A248" s="38" t="n">
        <v>246</v>
      </c>
      <c r="B248" s="38" t="inlineStr">
        <is>
          <t>Sarah</t>
        </is>
      </c>
      <c r="C248" s="38" t="inlineStr">
        <is>
          <t>Mahoney</t>
        </is>
      </c>
      <c r="D248" s="38" t="inlineStr">
        <is>
          <t>Yale University</t>
        </is>
      </c>
      <c r="E248" s="38" t="inlineStr">
        <is>
          <t>Public Health</t>
        </is>
      </c>
      <c r="F248" s="35" t="inlineStr">
        <is>
          <t>High</t>
        </is>
      </c>
      <c r="G248" s="35" t="inlineStr">
        <is>
          <t>High</t>
        </is>
      </c>
      <c r="H248" s="38" t="inlineStr">
        <is>
          <t>sarah.mahoney@yale.edu</t>
        </is>
      </c>
      <c r="I248" s="38" t="inlineStr">
        <is>
          <t>2026-04-02</t>
        </is>
      </c>
      <c r="J248" s="38" t="n"/>
      <c r="K248" s="38" t="inlineStr">
        <is>
          <t>NO</t>
        </is>
      </c>
      <c r="L248" s="39" t="inlineStr">
        <is>
          <t>New Lead</t>
        </is>
      </c>
      <c r="M248" s="38" t="n"/>
      <c r="N248" s="38" t="n"/>
      <c r="O248" s="38" t="n"/>
      <c r="P248" s="38" t="n">
        <v>2500</v>
      </c>
      <c r="Q248" s="38" t="n">
        <v>0</v>
      </c>
      <c r="R248" s="40">
        <f>IF(J248="","",TODAY()-DATE(LEFT(J248,4)*1,MID(J248,6,2)*1,RIGHT(J248,2)*1))</f>
        <v/>
      </c>
    </row>
    <row r="249" ht="18" customHeight="1" s="31">
      <c r="A249" s="34" t="n">
        <v>247</v>
      </c>
      <c r="B249" s="34" t="inlineStr">
        <is>
          <t>Yuting</t>
        </is>
      </c>
      <c r="C249" s="34" t="inlineStr">
        <is>
          <t>Qian</t>
        </is>
      </c>
      <c r="D249" s="34" t="inlineStr">
        <is>
          <t>Yale University</t>
        </is>
      </c>
      <c r="E249" s="34" t="inlineStr">
        <is>
          <t>Public Health</t>
        </is>
      </c>
      <c r="F249" s="35" t="inlineStr">
        <is>
          <t>High</t>
        </is>
      </c>
      <c r="G249" s="35" t="inlineStr">
        <is>
          <t>High</t>
        </is>
      </c>
      <c r="H249" s="34" t="inlineStr">
        <is>
          <t>yuting.qian@yale.edu</t>
        </is>
      </c>
      <c r="I249" s="34" t="inlineStr">
        <is>
          <t>2026-04-02</t>
        </is>
      </c>
      <c r="J249" s="34" t="n"/>
      <c r="K249" s="34" t="inlineStr">
        <is>
          <t>NO</t>
        </is>
      </c>
      <c r="L249" s="36" t="inlineStr">
        <is>
          <t>New Lead</t>
        </is>
      </c>
      <c r="M249" s="34" t="n"/>
      <c r="N249" s="34" t="n"/>
      <c r="O249" s="34" t="n"/>
      <c r="P249" s="34" t="n">
        <v>2500</v>
      </c>
      <c r="Q249" s="34" t="n">
        <v>0</v>
      </c>
      <c r="R249" s="37">
        <f>IF(J249="","",TODAY()-DATE(LEFT(J249,4)*1,MID(J249,6,2)*1,RIGHT(J249,2)*1))</f>
        <v/>
      </c>
    </row>
    <row r="250" ht="18" customHeight="1" s="31">
      <c r="A250" s="38" t="n">
        <v>248</v>
      </c>
      <c r="B250" s="38" t="inlineStr">
        <is>
          <t>Whitney</t>
        </is>
      </c>
      <c r="C250" s="38" t="inlineStr">
        <is>
          <t>Denary</t>
        </is>
      </c>
      <c r="D250" s="38" t="inlineStr">
        <is>
          <t>Yale University</t>
        </is>
      </c>
      <c r="E250" s="38" t="inlineStr">
        <is>
          <t>Public Health</t>
        </is>
      </c>
      <c r="F250" s="35" t="inlineStr">
        <is>
          <t>High</t>
        </is>
      </c>
      <c r="G250" s="35" t="inlineStr">
        <is>
          <t>High</t>
        </is>
      </c>
      <c r="H250" s="38" t="inlineStr">
        <is>
          <t>whitney.denary@yale.edu</t>
        </is>
      </c>
      <c r="I250" s="38" t="inlineStr">
        <is>
          <t>2026-04-02</t>
        </is>
      </c>
      <c r="J250" s="38" t="n"/>
      <c r="K250" s="38" t="inlineStr">
        <is>
          <t>NO</t>
        </is>
      </c>
      <c r="L250" s="39" t="inlineStr">
        <is>
          <t>New Lead</t>
        </is>
      </c>
      <c r="M250" s="38" t="n"/>
      <c r="N250" s="38" t="n"/>
      <c r="O250" s="38" t="n"/>
      <c r="P250" s="38" t="n">
        <v>2500</v>
      </c>
      <c r="Q250" s="38" t="n">
        <v>0</v>
      </c>
      <c r="R250" s="40">
        <f>IF(J250="","",TODAY()-DATE(LEFT(J250,4)*1,MID(J250,6,2)*1,RIGHT(J250,2)*1))</f>
        <v/>
      </c>
    </row>
    <row r="251" ht="18" customHeight="1" s="31">
      <c r="A251" s="34" t="n">
        <v>249</v>
      </c>
      <c r="B251" s="34" t="inlineStr">
        <is>
          <t>Joy</t>
        </is>
      </c>
      <c r="C251" s="34" t="inlineStr">
        <is>
          <t>Lindsay</t>
        </is>
      </c>
      <c r="D251" s="34" t="inlineStr">
        <is>
          <t>Yale University</t>
        </is>
      </c>
      <c r="E251" s="34" t="inlineStr">
        <is>
          <t>Public Health</t>
        </is>
      </c>
      <c r="F251" s="35" t="inlineStr">
        <is>
          <t>High</t>
        </is>
      </c>
      <c r="G251" s="35" t="inlineStr">
        <is>
          <t>High</t>
        </is>
      </c>
      <c r="H251" s="34" t="inlineStr">
        <is>
          <t>joy.lindsay@yale.edu</t>
        </is>
      </c>
      <c r="I251" s="34" t="inlineStr">
        <is>
          <t>2026-04-02</t>
        </is>
      </c>
      <c r="J251" s="34" t="n"/>
      <c r="K251" s="34" t="inlineStr">
        <is>
          <t>NO</t>
        </is>
      </c>
      <c r="L251" s="36" t="inlineStr">
        <is>
          <t>New Lead</t>
        </is>
      </c>
      <c r="M251" s="34" t="n"/>
      <c r="N251" s="34" t="n"/>
      <c r="O251" s="34" t="n"/>
      <c r="P251" s="34" t="n">
        <v>2500</v>
      </c>
      <c r="Q251" s="34" t="n">
        <v>0</v>
      </c>
      <c r="R251" s="37">
        <f>IF(J251="","",TODAY()-DATE(LEFT(J251,4)*1,MID(J251,6,2)*1,RIGHT(J251,2)*1))</f>
        <v/>
      </c>
    </row>
    <row r="252" ht="18" customHeight="1" s="31">
      <c r="A252" s="38" t="n">
        <v>250</v>
      </c>
      <c r="B252" s="38" t="inlineStr">
        <is>
          <t>Elisa</t>
        </is>
      </c>
      <c r="C252" s="38" t="inlineStr">
        <is>
          <t>Park</t>
        </is>
      </c>
      <c r="D252" s="38" t="inlineStr">
        <is>
          <t>Yale University</t>
        </is>
      </c>
      <c r="E252" s="38" t="inlineStr">
        <is>
          <t>Public Health</t>
        </is>
      </c>
      <c r="F252" s="35" t="inlineStr">
        <is>
          <t>High</t>
        </is>
      </c>
      <c r="G252" s="35" t="inlineStr">
        <is>
          <t>High</t>
        </is>
      </c>
      <c r="H252" s="38" t="inlineStr">
        <is>
          <t>elisa.park@yale.edu</t>
        </is>
      </c>
      <c r="I252" s="38" t="inlineStr">
        <is>
          <t>2026-04-02</t>
        </is>
      </c>
      <c r="J252" s="38" t="n"/>
      <c r="K252" s="38" t="inlineStr">
        <is>
          <t>NO</t>
        </is>
      </c>
      <c r="L252" s="39" t="inlineStr">
        <is>
          <t>New Lead</t>
        </is>
      </c>
      <c r="M252" s="38" t="n"/>
      <c r="N252" s="38" t="n"/>
      <c r="O252" s="38" t="n"/>
      <c r="P252" s="38" t="n">
        <v>2500</v>
      </c>
      <c r="Q252" s="38" t="n">
        <v>0</v>
      </c>
      <c r="R252" s="40">
        <f>IF(J252="","",TODAY()-DATE(LEFT(J252,4)*1,MID(J252,6,2)*1,RIGHT(J252,2)*1))</f>
        <v/>
      </c>
    </row>
    <row r="253" ht="18" customHeight="1" s="31">
      <c r="A253" s="34" t="n">
        <v>251</v>
      </c>
      <c r="B253" s="34" t="inlineStr">
        <is>
          <t>Gul</t>
        </is>
      </c>
      <c r="C253" s="34" t="inlineStr">
        <is>
          <t>Saeed</t>
        </is>
      </c>
      <c r="D253" s="34" t="inlineStr">
        <is>
          <t>Yale University</t>
        </is>
      </c>
      <c r="E253" s="34" t="inlineStr">
        <is>
          <t>Public Health</t>
        </is>
      </c>
      <c r="F253" s="35" t="inlineStr">
        <is>
          <t>High</t>
        </is>
      </c>
      <c r="G253" s="35" t="inlineStr">
        <is>
          <t>High</t>
        </is>
      </c>
      <c r="H253" s="34" t="inlineStr">
        <is>
          <t>g.saeed@yale.edu</t>
        </is>
      </c>
      <c r="I253" s="34" t="inlineStr">
        <is>
          <t>2026-04-02</t>
        </is>
      </c>
      <c r="J253" s="34" t="n"/>
      <c r="K253" s="34" t="inlineStr">
        <is>
          <t>NO</t>
        </is>
      </c>
      <c r="L253" s="36" t="inlineStr">
        <is>
          <t>New Lead</t>
        </is>
      </c>
      <c r="M253" s="34" t="n"/>
      <c r="N253" s="34" t="n"/>
      <c r="O253" s="34" t="n"/>
      <c r="P253" s="34" t="n">
        <v>2500</v>
      </c>
      <c r="Q253" s="34" t="n">
        <v>0</v>
      </c>
      <c r="R253" s="37">
        <f>IF(J253="","",TODAY()-DATE(LEFT(J253,4)*1,MID(J253,6,2)*1,RIGHT(J253,2)*1))</f>
        <v/>
      </c>
    </row>
    <row r="254" ht="18" customHeight="1" s="31">
      <c r="A254" s="38" t="n">
        <v>252</v>
      </c>
      <c r="B254" s="38" t="inlineStr">
        <is>
          <t>Nimisha</t>
        </is>
      </c>
      <c r="C254" s="38" t="inlineStr">
        <is>
          <t>Srikanth</t>
        </is>
      </c>
      <c r="D254" s="38" t="inlineStr">
        <is>
          <t>Yale University</t>
        </is>
      </c>
      <c r="E254" s="38" t="inlineStr">
        <is>
          <t>Public Health</t>
        </is>
      </c>
      <c r="F254" s="35" t="inlineStr">
        <is>
          <t>High</t>
        </is>
      </c>
      <c r="G254" s="35" t="inlineStr">
        <is>
          <t>High</t>
        </is>
      </c>
      <c r="H254" s="38" t="inlineStr">
        <is>
          <t>nimisha.srikanth@yale.edu</t>
        </is>
      </c>
      <c r="I254" s="38" t="inlineStr">
        <is>
          <t>2026-04-02</t>
        </is>
      </c>
      <c r="J254" s="38" t="n"/>
      <c r="K254" s="38" t="inlineStr">
        <is>
          <t>NO</t>
        </is>
      </c>
      <c r="L254" s="39" t="inlineStr">
        <is>
          <t>New Lead</t>
        </is>
      </c>
      <c r="M254" s="38" t="n"/>
      <c r="N254" s="38" t="n"/>
      <c r="O254" s="38" t="n"/>
      <c r="P254" s="38" t="n">
        <v>2500</v>
      </c>
      <c r="Q254" s="38" t="n">
        <v>0</v>
      </c>
      <c r="R254" s="40">
        <f>IF(J254="","",TODAY()-DATE(LEFT(J254,4)*1,MID(J254,6,2)*1,RIGHT(J254,2)*1))</f>
        <v/>
      </c>
    </row>
    <row r="255" ht="18" customHeight="1" s="31">
      <c r="A255" s="34" t="n">
        <v>253</v>
      </c>
      <c r="B255" s="34" t="inlineStr">
        <is>
          <t>Bryce</t>
        </is>
      </c>
      <c r="C255" s="34" t="inlineStr">
        <is>
          <t>Takenaka</t>
        </is>
      </c>
      <c r="D255" s="34" t="inlineStr">
        <is>
          <t>Yale University</t>
        </is>
      </c>
      <c r="E255" s="34" t="inlineStr">
        <is>
          <t>Public Health</t>
        </is>
      </c>
      <c r="F255" s="35" t="inlineStr">
        <is>
          <t>High</t>
        </is>
      </c>
      <c r="G255" s="35" t="inlineStr">
        <is>
          <t>High</t>
        </is>
      </c>
      <c r="H255" s="34" t="inlineStr">
        <is>
          <t>bryce.takenaka@yale.edu</t>
        </is>
      </c>
      <c r="I255" s="34" t="inlineStr">
        <is>
          <t>2026-04-02</t>
        </is>
      </c>
      <c r="J255" s="34" t="n"/>
      <c r="K255" s="34" t="inlineStr">
        <is>
          <t>NO</t>
        </is>
      </c>
      <c r="L255" s="36" t="inlineStr">
        <is>
          <t>New Lead</t>
        </is>
      </c>
      <c r="M255" s="34" t="n"/>
      <c r="N255" s="34" t="n"/>
      <c r="O255" s="34" t="n"/>
      <c r="P255" s="34" t="n">
        <v>2500</v>
      </c>
      <c r="Q255" s="34" t="n">
        <v>0</v>
      </c>
      <c r="R255" s="37">
        <f>IF(J255="","",TODAY()-DATE(LEFT(J255,4)*1,MID(J255,6,2)*1,RIGHT(J255,2)*1))</f>
        <v/>
      </c>
    </row>
    <row r="256" ht="18" customHeight="1" s="31">
      <c r="A256" s="38" t="n">
        <v>254</v>
      </c>
      <c r="B256" s="38" t="inlineStr">
        <is>
          <t>Miles</t>
        </is>
      </c>
      <c r="C256" s="38" t="inlineStr">
        <is>
          <t>Abney</t>
        </is>
      </c>
      <c r="D256" s="38" t="inlineStr">
        <is>
          <t>University of Alabama</t>
        </is>
      </c>
      <c r="E256" s="38" t="inlineStr">
        <is>
          <t>Psychology</t>
        </is>
      </c>
      <c r="F256" s="35" t="inlineStr">
        <is>
          <t>High</t>
        </is>
      </c>
      <c r="G256" s="35" t="inlineStr">
        <is>
          <t>High</t>
        </is>
      </c>
      <c r="H256" s="38" t="inlineStr">
        <is>
          <t>mcabney1@crimson.ua.edu</t>
        </is>
      </c>
      <c r="I256" s="38" t="inlineStr">
        <is>
          <t>2026-04-02</t>
        </is>
      </c>
      <c r="J256" s="38" t="n"/>
      <c r="K256" s="38" t="inlineStr">
        <is>
          <t>NO</t>
        </is>
      </c>
      <c r="L256" s="39" t="inlineStr">
        <is>
          <t>New Lead</t>
        </is>
      </c>
      <c r="M256" s="38" t="n"/>
      <c r="N256" s="38" t="n"/>
      <c r="O256" s="38" t="n"/>
      <c r="P256" s="38" t="n">
        <v>2500</v>
      </c>
      <c r="Q256" s="38" t="n">
        <v>0</v>
      </c>
      <c r="R256" s="40">
        <f>IF(J256="","",TODAY()-DATE(LEFT(J256,4)*1,MID(J256,6,2)*1,RIGHT(J256,2)*1))</f>
        <v/>
      </c>
    </row>
    <row r="257" ht="18" customHeight="1" s="31">
      <c r="A257" s="34" t="n">
        <v>255</v>
      </c>
      <c r="B257" s="34" t="inlineStr">
        <is>
          <t>Karen</t>
        </is>
      </c>
      <c r="C257" s="34" t="inlineStr">
        <is>
          <t>Akin</t>
        </is>
      </c>
      <c r="D257" s="34" t="inlineStr">
        <is>
          <t>University of Alabama</t>
        </is>
      </c>
      <c r="E257" s="34" t="inlineStr">
        <is>
          <t>Psychology</t>
        </is>
      </c>
      <c r="F257" s="35" t="inlineStr">
        <is>
          <t>High</t>
        </is>
      </c>
      <c r="G257" s="35" t="inlineStr">
        <is>
          <t>High</t>
        </is>
      </c>
      <c r="H257" s="34" t="inlineStr">
        <is>
          <t>kakin@crimson.ua.edu</t>
        </is>
      </c>
      <c r="I257" s="34" t="inlineStr">
        <is>
          <t>2026-04-02</t>
        </is>
      </c>
      <c r="J257" s="34" t="n"/>
      <c r="K257" s="34" t="inlineStr">
        <is>
          <t>NO</t>
        </is>
      </c>
      <c r="L257" s="36" t="inlineStr">
        <is>
          <t>New Lead</t>
        </is>
      </c>
      <c r="M257" s="34" t="n"/>
      <c r="N257" s="34" t="n"/>
      <c r="O257" s="34" t="n"/>
      <c r="P257" s="34" t="n">
        <v>2500</v>
      </c>
      <c r="Q257" s="34" t="n">
        <v>0</v>
      </c>
      <c r="R257" s="37">
        <f>IF(J257="","",TODAY()-DATE(LEFT(J257,4)*1,MID(J257,6,2)*1,RIGHT(J257,2)*1))</f>
        <v/>
      </c>
    </row>
    <row r="258" ht="18" customHeight="1" s="31">
      <c r="A258" s="38" t="n">
        <v>256</v>
      </c>
      <c r="B258" s="38" t="inlineStr">
        <is>
          <t>Zachary</t>
        </is>
      </c>
      <c r="C258" s="38" t="inlineStr">
        <is>
          <t>Algaze</t>
        </is>
      </c>
      <c r="D258" s="38" t="inlineStr">
        <is>
          <t>University of Alabama</t>
        </is>
      </c>
      <c r="E258" s="38" t="inlineStr">
        <is>
          <t>Psychology</t>
        </is>
      </c>
      <c r="F258" s="35" t="inlineStr">
        <is>
          <t>High</t>
        </is>
      </c>
      <c r="G258" s="35" t="inlineStr">
        <is>
          <t>High</t>
        </is>
      </c>
      <c r="H258" s="38" t="inlineStr">
        <is>
          <t>zalgaze@crimson.ua.edu</t>
        </is>
      </c>
      <c r="I258" s="38" t="inlineStr">
        <is>
          <t>2026-04-02</t>
        </is>
      </c>
      <c r="J258" s="38" t="n"/>
      <c r="K258" s="38" t="inlineStr">
        <is>
          <t>NO</t>
        </is>
      </c>
      <c r="L258" s="39" t="inlineStr">
        <is>
          <t>New Lead</t>
        </is>
      </c>
      <c r="M258" s="38" t="n"/>
      <c r="N258" s="38" t="n"/>
      <c r="O258" s="38" t="n"/>
      <c r="P258" s="38" t="n">
        <v>2500</v>
      </c>
      <c r="Q258" s="38" t="n">
        <v>0</v>
      </c>
      <c r="R258" s="40">
        <f>IF(J258="","",TODAY()-DATE(LEFT(J258,4)*1,MID(J258,6,2)*1,RIGHT(J258,2)*1))</f>
        <v/>
      </c>
    </row>
    <row r="259" ht="18" customHeight="1" s="31">
      <c r="A259" s="34" t="n">
        <v>257</v>
      </c>
      <c r="B259" s="34" t="inlineStr">
        <is>
          <t>Kash</t>
        </is>
      </c>
      <c r="C259" s="34" t="inlineStr">
        <is>
          <t>Anifowoshe</t>
        </is>
      </c>
      <c r="D259" s="34" t="inlineStr">
        <is>
          <t>University of Alabama</t>
        </is>
      </c>
      <c r="E259" s="34" t="inlineStr">
        <is>
          <t>Psychology</t>
        </is>
      </c>
      <c r="F259" s="35" t="inlineStr">
        <is>
          <t>High</t>
        </is>
      </c>
      <c r="G259" s="35" t="inlineStr">
        <is>
          <t>High</t>
        </is>
      </c>
      <c r="H259" s="34" t="inlineStr">
        <is>
          <t>kianifowoshe@crimson.ua.edu</t>
        </is>
      </c>
      <c r="I259" s="34" t="inlineStr">
        <is>
          <t>2026-04-02</t>
        </is>
      </c>
      <c r="J259" s="34" t="n"/>
      <c r="K259" s="34" t="inlineStr">
        <is>
          <t>NO</t>
        </is>
      </c>
      <c r="L259" s="36" t="inlineStr">
        <is>
          <t>New Lead</t>
        </is>
      </c>
      <c r="M259" s="34" t="n"/>
      <c r="N259" s="34" t="n"/>
      <c r="O259" s="34" t="n"/>
      <c r="P259" s="34" t="n">
        <v>2500</v>
      </c>
      <c r="Q259" s="34" t="n">
        <v>0</v>
      </c>
      <c r="R259" s="37">
        <f>IF(J259="","",TODAY()-DATE(LEFT(J259,4)*1,MID(J259,6,2)*1,RIGHT(J259,2)*1))</f>
        <v/>
      </c>
    </row>
    <row r="260" ht="18" customHeight="1" s="31">
      <c r="A260" s="38" t="n">
        <v>258</v>
      </c>
      <c r="B260" s="38" t="inlineStr">
        <is>
          <t>Hannah</t>
        </is>
      </c>
      <c r="C260" s="38" t="inlineStr">
        <is>
          <t>Apostolou</t>
        </is>
      </c>
      <c r="D260" s="38" t="inlineStr">
        <is>
          <t>University of Alabama</t>
        </is>
      </c>
      <c r="E260" s="38" t="inlineStr">
        <is>
          <t>Psychology</t>
        </is>
      </c>
      <c r="F260" s="35" t="inlineStr">
        <is>
          <t>High</t>
        </is>
      </c>
      <c r="G260" s="35" t="inlineStr">
        <is>
          <t>High</t>
        </is>
      </c>
      <c r="H260" s="38" t="inlineStr">
        <is>
          <t>hlapostolou@crimson.ua.edu</t>
        </is>
      </c>
      <c r="I260" s="38" t="inlineStr">
        <is>
          <t>2026-04-02</t>
        </is>
      </c>
      <c r="J260" s="38" t="n"/>
      <c r="K260" s="38" t="inlineStr">
        <is>
          <t>NO</t>
        </is>
      </c>
      <c r="L260" s="39" t="inlineStr">
        <is>
          <t>New Lead</t>
        </is>
      </c>
      <c r="M260" s="38" t="n"/>
      <c r="N260" s="38" t="n"/>
      <c r="O260" s="38" t="n"/>
      <c r="P260" s="38" t="n">
        <v>2500</v>
      </c>
      <c r="Q260" s="38" t="n">
        <v>0</v>
      </c>
      <c r="R260" s="40">
        <f>IF(J260="","",TODAY()-DATE(LEFT(J260,4)*1,MID(J260,6,2)*1,RIGHT(J260,2)*1))</f>
        <v/>
      </c>
    </row>
    <row r="261" ht="18" customHeight="1" s="31">
      <c r="A261" s="34" t="n">
        <v>259</v>
      </c>
      <c r="B261" s="34" t="inlineStr">
        <is>
          <t>Francesca</t>
        </is>
      </c>
      <c r="C261" s="34" t="inlineStr">
        <is>
          <t>Artusa</t>
        </is>
      </c>
      <c r="D261" s="34" t="inlineStr">
        <is>
          <t>University of Alabama</t>
        </is>
      </c>
      <c r="E261" s="34" t="inlineStr">
        <is>
          <t>Psychology</t>
        </is>
      </c>
      <c r="F261" s="35" t="inlineStr">
        <is>
          <t>High</t>
        </is>
      </c>
      <c r="G261" s="35" t="inlineStr">
        <is>
          <t>High</t>
        </is>
      </c>
      <c r="H261" s="34" t="inlineStr">
        <is>
          <t>fcartusa@crimson.ua.edu</t>
        </is>
      </c>
      <c r="I261" s="34" t="inlineStr">
        <is>
          <t>2026-04-02</t>
        </is>
      </c>
      <c r="J261" s="34" t="n"/>
      <c r="K261" s="34" t="inlineStr">
        <is>
          <t>NO</t>
        </is>
      </c>
      <c r="L261" s="36" t="inlineStr">
        <is>
          <t>New Lead</t>
        </is>
      </c>
      <c r="M261" s="34" t="n"/>
      <c r="N261" s="34" t="n"/>
      <c r="O261" s="34" t="n"/>
      <c r="P261" s="34" t="n">
        <v>2500</v>
      </c>
      <c r="Q261" s="34" t="n">
        <v>0</v>
      </c>
      <c r="R261" s="37">
        <f>IF(J261="","",TODAY()-DATE(LEFT(J261,4)*1,MID(J261,6,2)*1,RIGHT(J261,2)*1))</f>
        <v/>
      </c>
    </row>
    <row r="262" ht="18" customHeight="1" s="31">
      <c r="A262" s="38" t="n">
        <v>260</v>
      </c>
      <c r="B262" s="38" t="inlineStr">
        <is>
          <t>Bahare</t>
        </is>
      </c>
      <c r="C262" s="38" t="inlineStr">
        <is>
          <t>Bahmani</t>
        </is>
      </c>
      <c r="D262" s="38" t="inlineStr">
        <is>
          <t>University of Alabama</t>
        </is>
      </c>
      <c r="E262" s="38" t="inlineStr">
        <is>
          <t>Psychology</t>
        </is>
      </c>
      <c r="F262" s="35" t="inlineStr">
        <is>
          <t>High</t>
        </is>
      </c>
      <c r="G262" s="35" t="inlineStr">
        <is>
          <t>High</t>
        </is>
      </c>
      <c r="H262" s="38" t="inlineStr">
        <is>
          <t>bbahmani@crimson.ua.edu</t>
        </is>
      </c>
      <c r="I262" s="38" t="inlineStr">
        <is>
          <t>2026-04-02</t>
        </is>
      </c>
      <c r="J262" s="38" t="n"/>
      <c r="K262" s="38" t="inlineStr">
        <is>
          <t>NO</t>
        </is>
      </c>
      <c r="L262" s="39" t="inlineStr">
        <is>
          <t>New Lead</t>
        </is>
      </c>
      <c r="M262" s="38" t="n"/>
      <c r="N262" s="38" t="n"/>
      <c r="O262" s="38" t="n"/>
      <c r="P262" s="38" t="n">
        <v>2500</v>
      </c>
      <c r="Q262" s="38" t="n">
        <v>0</v>
      </c>
      <c r="R262" s="40">
        <f>IF(J262="","",TODAY()-DATE(LEFT(J262,4)*1,MID(J262,6,2)*1,RIGHT(J262,2)*1))</f>
        <v/>
      </c>
    </row>
    <row r="263" ht="18" customHeight="1" s="31">
      <c r="A263" s="34" t="n">
        <v>261</v>
      </c>
      <c r="B263" s="34" t="inlineStr">
        <is>
          <t>Sabrina</t>
        </is>
      </c>
      <c r="C263" s="34" t="inlineStr">
        <is>
          <t>Barella</t>
        </is>
      </c>
      <c r="D263" s="34" t="inlineStr">
        <is>
          <t>University of Alabama</t>
        </is>
      </c>
      <c r="E263" s="34" t="inlineStr">
        <is>
          <t>Psychology</t>
        </is>
      </c>
      <c r="F263" s="35" t="inlineStr">
        <is>
          <t>High</t>
        </is>
      </c>
      <c r="G263" s="35" t="inlineStr">
        <is>
          <t>High</t>
        </is>
      </c>
      <c r="H263" s="34" t="inlineStr">
        <is>
          <t>sabarella@crimson.ua.edu</t>
        </is>
      </c>
      <c r="I263" s="34" t="inlineStr">
        <is>
          <t>2026-04-02</t>
        </is>
      </c>
      <c r="J263" s="34" t="n"/>
      <c r="K263" s="34" t="inlineStr">
        <is>
          <t>NO</t>
        </is>
      </c>
      <c r="L263" s="36" t="inlineStr">
        <is>
          <t>New Lead</t>
        </is>
      </c>
      <c r="M263" s="34" t="n"/>
      <c r="N263" s="34" t="n"/>
      <c r="O263" s="34" t="n"/>
      <c r="P263" s="34" t="n">
        <v>2500</v>
      </c>
      <c r="Q263" s="34" t="n">
        <v>0</v>
      </c>
      <c r="R263" s="37">
        <f>IF(J263="","",TODAY()-DATE(LEFT(J263,4)*1,MID(J263,6,2)*1,RIGHT(J263,2)*1))</f>
        <v/>
      </c>
    </row>
    <row r="264" ht="18" customHeight="1" s="31">
      <c r="A264" s="38" t="n">
        <v>262</v>
      </c>
      <c r="B264" s="38" t="inlineStr">
        <is>
          <t>Mallory</t>
        </is>
      </c>
      <c r="C264" s="38" t="inlineStr">
        <is>
          <t>Bates</t>
        </is>
      </c>
      <c r="D264" s="38" t="inlineStr">
        <is>
          <t>University of Alabama</t>
        </is>
      </c>
      <c r="E264" s="38" t="inlineStr">
        <is>
          <t>Psychology</t>
        </is>
      </c>
      <c r="F264" s="35" t="inlineStr">
        <is>
          <t>High</t>
        </is>
      </c>
      <c r="G264" s="35" t="inlineStr">
        <is>
          <t>High</t>
        </is>
      </c>
      <c r="H264" s="38" t="inlineStr">
        <is>
          <t>mcbates1@crimson.ua.edu</t>
        </is>
      </c>
      <c r="I264" s="38" t="inlineStr">
        <is>
          <t>2026-04-02</t>
        </is>
      </c>
      <c r="J264" s="38" t="n"/>
      <c r="K264" s="38" t="inlineStr">
        <is>
          <t>NO</t>
        </is>
      </c>
      <c r="L264" s="39" t="inlineStr">
        <is>
          <t>New Lead</t>
        </is>
      </c>
      <c r="M264" s="38" t="n"/>
      <c r="N264" s="38" t="n"/>
      <c r="O264" s="38" t="n"/>
      <c r="P264" s="38" t="n">
        <v>2500</v>
      </c>
      <c r="Q264" s="38" t="n">
        <v>0</v>
      </c>
      <c r="R264" s="40">
        <f>IF(J264="","",TODAY()-DATE(LEFT(J264,4)*1,MID(J264,6,2)*1,RIGHT(J264,2)*1))</f>
        <v/>
      </c>
    </row>
    <row r="265" ht="18" customHeight="1" s="31">
      <c r="A265" s="34" t="n">
        <v>263</v>
      </c>
      <c r="B265" s="34" t="inlineStr">
        <is>
          <t>Beach</t>
        </is>
      </c>
      <c r="C265" s="34" t="n"/>
      <c r="D265" s="34" t="inlineStr">
        <is>
          <t>University of Alabama</t>
        </is>
      </c>
      <c r="E265" s="34" t="inlineStr">
        <is>
          <t>Psychology</t>
        </is>
      </c>
      <c r="F265" s="35" t="inlineStr">
        <is>
          <t>High</t>
        </is>
      </c>
      <c r="G265" s="35" t="inlineStr">
        <is>
          <t>High</t>
        </is>
      </c>
      <c r="H265" s="34" t="inlineStr">
        <is>
          <t>rmbeach2@crimson.ua.edu</t>
        </is>
      </c>
      <c r="I265" s="34" t="inlineStr">
        <is>
          <t>2026-04-02</t>
        </is>
      </c>
      <c r="J265" s="34" t="n"/>
      <c r="K265" s="34" t="inlineStr">
        <is>
          <t>NO</t>
        </is>
      </c>
      <c r="L265" s="36" t="inlineStr">
        <is>
          <t>New Lead</t>
        </is>
      </c>
      <c r="M265" s="34" t="n"/>
      <c r="N265" s="34" t="n"/>
      <c r="O265" s="34" t="n"/>
      <c r="P265" s="34" t="n">
        <v>2500</v>
      </c>
      <c r="Q265" s="34" t="n">
        <v>0</v>
      </c>
      <c r="R265" s="37">
        <f>IF(J265="","",TODAY()-DATE(LEFT(J265,4)*1,MID(J265,6,2)*1,RIGHT(J265,2)*1))</f>
        <v/>
      </c>
    </row>
    <row r="266" ht="18" customHeight="1" s="31">
      <c r="A266" s="38" t="n">
        <v>264</v>
      </c>
      <c r="B266" s="38" t="inlineStr">
        <is>
          <t>Ava</t>
        </is>
      </c>
      <c r="C266" s="38" t="inlineStr">
        <is>
          <t>Behrouzi</t>
        </is>
      </c>
      <c r="D266" s="38" t="inlineStr">
        <is>
          <t>University of Alabama</t>
        </is>
      </c>
      <c r="E266" s="38" t="inlineStr">
        <is>
          <t>Psychology</t>
        </is>
      </c>
      <c r="F266" s="35" t="inlineStr">
        <is>
          <t>High</t>
        </is>
      </c>
      <c r="G266" s="35" t="inlineStr">
        <is>
          <t>High</t>
        </is>
      </c>
      <c r="H266" s="38" t="inlineStr">
        <is>
          <t>abehrouzi@crimson.ua.edu</t>
        </is>
      </c>
      <c r="I266" s="38" t="inlineStr">
        <is>
          <t>2026-04-02</t>
        </is>
      </c>
      <c r="J266" s="38" t="n"/>
      <c r="K266" s="38" t="inlineStr">
        <is>
          <t>NO</t>
        </is>
      </c>
      <c r="L266" s="39" t="inlineStr">
        <is>
          <t>New Lead</t>
        </is>
      </c>
      <c r="M266" s="38" t="n"/>
      <c r="N266" s="38" t="n"/>
      <c r="O266" s="38" t="n"/>
      <c r="P266" s="38" t="n">
        <v>2500</v>
      </c>
      <c r="Q266" s="38" t="n">
        <v>0</v>
      </c>
      <c r="R266" s="40">
        <f>IF(J266="","",TODAY()-DATE(LEFT(J266,4)*1,MID(J266,6,2)*1,RIGHT(J266,2)*1))</f>
        <v/>
      </c>
    </row>
    <row r="267" ht="18" customHeight="1" s="31">
      <c r="A267" s="34" t="n">
        <v>265</v>
      </c>
      <c r="B267" s="34" t="inlineStr">
        <is>
          <t>Nick</t>
        </is>
      </c>
      <c r="C267" s="34" t="inlineStr">
        <is>
          <t>Bellamy</t>
        </is>
      </c>
      <c r="D267" s="34" t="inlineStr">
        <is>
          <t>University of Alabama</t>
        </is>
      </c>
      <c r="E267" s="34" t="inlineStr">
        <is>
          <t>Psychology</t>
        </is>
      </c>
      <c r="F267" s="35" t="inlineStr">
        <is>
          <t>High</t>
        </is>
      </c>
      <c r="G267" s="35" t="inlineStr">
        <is>
          <t>High</t>
        </is>
      </c>
      <c r="H267" s="34" t="inlineStr">
        <is>
          <t>nbellamy@crimson.ua.edu</t>
        </is>
      </c>
      <c r="I267" s="34" t="inlineStr">
        <is>
          <t>2026-04-02</t>
        </is>
      </c>
      <c r="J267" s="34" t="n"/>
      <c r="K267" s="34" t="inlineStr">
        <is>
          <t>NO</t>
        </is>
      </c>
      <c r="L267" s="36" t="inlineStr">
        <is>
          <t>New Lead</t>
        </is>
      </c>
      <c r="M267" s="34" t="n"/>
      <c r="N267" s="34" t="n"/>
      <c r="O267" s="34" t="n"/>
      <c r="P267" s="34" t="n">
        <v>2500</v>
      </c>
      <c r="Q267" s="34" t="n">
        <v>0</v>
      </c>
      <c r="R267" s="37">
        <f>IF(J267="","",TODAY()-DATE(LEFT(J267,4)*1,MID(J267,6,2)*1,RIGHT(J267,2)*1))</f>
        <v/>
      </c>
    </row>
    <row r="268" ht="18" customHeight="1" s="31">
      <c r="A268" s="38" t="n">
        <v>266</v>
      </c>
      <c r="B268" s="38" t="inlineStr">
        <is>
          <t>Kayla</t>
        </is>
      </c>
      <c r="C268" s="38" t="inlineStr">
        <is>
          <t>Bird</t>
        </is>
      </c>
      <c r="D268" s="38" t="inlineStr">
        <is>
          <t>University of Alabama</t>
        </is>
      </c>
      <c r="E268" s="38" t="inlineStr">
        <is>
          <t>Psychology</t>
        </is>
      </c>
      <c r="F268" s="35" t="inlineStr">
        <is>
          <t>High</t>
        </is>
      </c>
      <c r="G268" s="35" t="inlineStr">
        <is>
          <t>High</t>
        </is>
      </c>
      <c r="H268" s="38" t="inlineStr">
        <is>
          <t>kbird2@crimson.ua.edu</t>
        </is>
      </c>
      <c r="I268" s="38" t="inlineStr">
        <is>
          <t>2026-04-02</t>
        </is>
      </c>
      <c r="J268" s="38" t="n"/>
      <c r="K268" s="38" t="inlineStr">
        <is>
          <t>NO</t>
        </is>
      </c>
      <c r="L268" s="39" t="inlineStr">
        <is>
          <t>New Lead</t>
        </is>
      </c>
      <c r="M268" s="38" t="n"/>
      <c r="N268" s="38" t="n"/>
      <c r="O268" s="38" t="n"/>
      <c r="P268" s="38" t="n">
        <v>2500</v>
      </c>
      <c r="Q268" s="38" t="n">
        <v>0</v>
      </c>
      <c r="R268" s="40">
        <f>IF(J268="","",TODAY()-DATE(LEFT(J268,4)*1,MID(J268,6,2)*1,RIGHT(J268,2)*1))</f>
        <v/>
      </c>
    </row>
    <row r="269" ht="18" customHeight="1" s="31">
      <c r="A269" s="34" t="n">
        <v>267</v>
      </c>
      <c r="B269" s="34" t="inlineStr">
        <is>
          <t>Emmy</t>
        </is>
      </c>
      <c r="C269" s="34" t="inlineStr">
        <is>
          <t>Bray</t>
        </is>
      </c>
      <c r="D269" s="34" t="inlineStr">
        <is>
          <t>University of Alabama</t>
        </is>
      </c>
      <c r="E269" s="34" t="inlineStr">
        <is>
          <t>Psychology</t>
        </is>
      </c>
      <c r="F269" s="35" t="inlineStr">
        <is>
          <t>High</t>
        </is>
      </c>
      <c r="G269" s="35" t="inlineStr">
        <is>
          <t>High</t>
        </is>
      </c>
      <c r="H269" s="34" t="inlineStr">
        <is>
          <t>mebray@crimson.ua.edu</t>
        </is>
      </c>
      <c r="I269" s="34" t="inlineStr">
        <is>
          <t>2026-04-02</t>
        </is>
      </c>
      <c r="J269" s="34" t="n"/>
      <c r="K269" s="34" t="inlineStr">
        <is>
          <t>NO</t>
        </is>
      </c>
      <c r="L269" s="36" t="inlineStr">
        <is>
          <t>New Lead</t>
        </is>
      </c>
      <c r="M269" s="34" t="n"/>
      <c r="N269" s="34" t="n"/>
      <c r="O269" s="34" t="n"/>
      <c r="P269" s="34" t="n">
        <v>2500</v>
      </c>
      <c r="Q269" s="34" t="n">
        <v>0</v>
      </c>
      <c r="R269" s="37">
        <f>IF(J269="","",TODAY()-DATE(LEFT(J269,4)*1,MID(J269,6,2)*1,RIGHT(J269,2)*1))</f>
        <v/>
      </c>
    </row>
    <row r="270" ht="18" customHeight="1" s="31">
      <c r="A270" s="38" t="n">
        <v>268</v>
      </c>
      <c r="B270" s="38" t="inlineStr">
        <is>
          <t>Justine</t>
        </is>
      </c>
      <c r="C270" s="38" t="inlineStr">
        <is>
          <t>Brennan</t>
        </is>
      </c>
      <c r="D270" s="38" t="inlineStr">
        <is>
          <t>University of Alabama</t>
        </is>
      </c>
      <c r="E270" s="38" t="inlineStr">
        <is>
          <t>Psychology</t>
        </is>
      </c>
      <c r="F270" s="35" t="inlineStr">
        <is>
          <t>High</t>
        </is>
      </c>
      <c r="G270" s="35" t="inlineStr">
        <is>
          <t>High</t>
        </is>
      </c>
      <c r="H270" s="38" t="inlineStr">
        <is>
          <t>jbrennan3@crimson.ua.edu</t>
        </is>
      </c>
      <c r="I270" s="38" t="inlineStr">
        <is>
          <t>2026-04-02</t>
        </is>
      </c>
      <c r="J270" s="38" t="n"/>
      <c r="K270" s="38" t="inlineStr">
        <is>
          <t>NO</t>
        </is>
      </c>
      <c r="L270" s="39" t="inlineStr">
        <is>
          <t>New Lead</t>
        </is>
      </c>
      <c r="M270" s="38" t="n"/>
      <c r="N270" s="38" t="n"/>
      <c r="O270" s="38" t="n"/>
      <c r="P270" s="38" t="n">
        <v>2500</v>
      </c>
      <c r="Q270" s="38" t="n">
        <v>0</v>
      </c>
      <c r="R270" s="40">
        <f>IF(J270="","",TODAY()-DATE(LEFT(J270,4)*1,MID(J270,6,2)*1,RIGHT(J270,2)*1))</f>
        <v/>
      </c>
    </row>
    <row r="271" ht="18" customHeight="1" s="31">
      <c r="A271" s="34" t="n">
        <v>269</v>
      </c>
      <c r="B271" s="34" t="inlineStr">
        <is>
          <t>Johnna</t>
        </is>
      </c>
      <c r="C271" s="34" t="inlineStr">
        <is>
          <t>Brown</t>
        </is>
      </c>
      <c r="D271" s="34" t="inlineStr">
        <is>
          <t>University of Alabama</t>
        </is>
      </c>
      <c r="E271" s="34" t="inlineStr">
        <is>
          <t>Psychology</t>
        </is>
      </c>
      <c r="F271" s="35" t="inlineStr">
        <is>
          <t>High</t>
        </is>
      </c>
      <c r="G271" s="35" t="inlineStr">
        <is>
          <t>High</t>
        </is>
      </c>
      <c r="H271" s="34" t="inlineStr">
        <is>
          <t>jbrown66@crimson.ua.edu</t>
        </is>
      </c>
      <c r="I271" s="34" t="inlineStr">
        <is>
          <t>2026-04-02</t>
        </is>
      </c>
      <c r="J271" s="34" t="n"/>
      <c r="K271" s="34" t="inlineStr">
        <is>
          <t>NO</t>
        </is>
      </c>
      <c r="L271" s="36" t="inlineStr">
        <is>
          <t>New Lead</t>
        </is>
      </c>
      <c r="M271" s="34" t="n"/>
      <c r="N271" s="34" t="n"/>
      <c r="O271" s="34" t="n"/>
      <c r="P271" s="34" t="n">
        <v>2500</v>
      </c>
      <c r="Q271" s="34" t="n">
        <v>0</v>
      </c>
      <c r="R271" s="37">
        <f>IF(J271="","",TODAY()-DATE(LEFT(J271,4)*1,MID(J271,6,2)*1,RIGHT(J271,2)*1))</f>
        <v/>
      </c>
    </row>
    <row r="272" ht="18" customHeight="1" s="31">
      <c r="A272" s="38" t="n">
        <v>270</v>
      </c>
      <c r="B272" s="38" t="inlineStr">
        <is>
          <t>Emma</t>
        </is>
      </c>
      <c r="C272" s="38" t="inlineStr">
        <is>
          <t>Bumgardner</t>
        </is>
      </c>
      <c r="D272" s="38" t="inlineStr">
        <is>
          <t>University of Alabama</t>
        </is>
      </c>
      <c r="E272" s="38" t="inlineStr">
        <is>
          <t>Psychology</t>
        </is>
      </c>
      <c r="F272" s="35" t="inlineStr">
        <is>
          <t>High</t>
        </is>
      </c>
      <c r="G272" s="35" t="inlineStr">
        <is>
          <t>High</t>
        </is>
      </c>
      <c r="H272" s="38" t="inlineStr">
        <is>
          <t>epbumgardner@crimson.ua.edu</t>
        </is>
      </c>
      <c r="I272" s="38" t="inlineStr">
        <is>
          <t>2026-04-02</t>
        </is>
      </c>
      <c r="J272" s="38" t="n"/>
      <c r="K272" s="38" t="inlineStr">
        <is>
          <t>NO</t>
        </is>
      </c>
      <c r="L272" s="39" t="inlineStr">
        <is>
          <t>New Lead</t>
        </is>
      </c>
      <c r="M272" s="38" t="n"/>
      <c r="N272" s="38" t="n"/>
      <c r="O272" s="38" t="n"/>
      <c r="P272" s="38" t="n">
        <v>2500</v>
      </c>
      <c r="Q272" s="38" t="n">
        <v>0</v>
      </c>
      <c r="R272" s="40">
        <f>IF(J272="","",TODAY()-DATE(LEFT(J272,4)*1,MID(J272,6,2)*1,RIGHT(J272,2)*1))</f>
        <v/>
      </c>
    </row>
    <row r="273" ht="18" customHeight="1" s="31">
      <c r="A273" s="34" t="n">
        <v>271</v>
      </c>
      <c r="B273" s="34" t="inlineStr">
        <is>
          <t>Michael</t>
        </is>
      </c>
      <c r="C273" s="34" t="inlineStr">
        <is>
          <t>Buxton</t>
        </is>
      </c>
      <c r="D273" s="34" t="inlineStr">
        <is>
          <t>University of Alabama</t>
        </is>
      </c>
      <c r="E273" s="34" t="inlineStr">
        <is>
          <t>Psychology</t>
        </is>
      </c>
      <c r="F273" s="35" t="inlineStr">
        <is>
          <t>High</t>
        </is>
      </c>
      <c r="G273" s="35" t="inlineStr">
        <is>
          <t>High</t>
        </is>
      </c>
      <c r="H273" s="34" t="inlineStr">
        <is>
          <t>mrbuxton1@crimson.ua.edu</t>
        </is>
      </c>
      <c r="I273" s="34" t="inlineStr">
        <is>
          <t>2026-04-02</t>
        </is>
      </c>
      <c r="J273" s="34" t="n"/>
      <c r="K273" s="34" t="inlineStr">
        <is>
          <t>NO</t>
        </is>
      </c>
      <c r="L273" s="36" t="inlineStr">
        <is>
          <t>New Lead</t>
        </is>
      </c>
      <c r="M273" s="34" t="n"/>
      <c r="N273" s="34" t="n"/>
      <c r="O273" s="34" t="n"/>
      <c r="P273" s="34" t="n">
        <v>2500</v>
      </c>
      <c r="Q273" s="34" t="n">
        <v>0</v>
      </c>
      <c r="R273" s="37">
        <f>IF(J273="","",TODAY()-DATE(LEFT(J273,4)*1,MID(J273,6,2)*1,RIGHT(J273,2)*1))</f>
        <v/>
      </c>
    </row>
    <row r="274" ht="18" customHeight="1" s="31">
      <c r="A274" s="38" t="n">
        <v>272</v>
      </c>
      <c r="B274" s="38" t="inlineStr">
        <is>
          <t>Sidra</t>
        </is>
      </c>
      <c r="C274" s="38" t="inlineStr">
        <is>
          <t>Capriolo</t>
        </is>
      </c>
      <c r="D274" s="38" t="inlineStr">
        <is>
          <t>University of Alabama</t>
        </is>
      </c>
      <c r="E274" s="38" t="inlineStr">
        <is>
          <t>Psychology</t>
        </is>
      </c>
      <c r="F274" s="35" t="inlineStr">
        <is>
          <t>High</t>
        </is>
      </c>
      <c r="G274" s="35" t="inlineStr">
        <is>
          <t>High</t>
        </is>
      </c>
      <c r="H274" s="38" t="inlineStr">
        <is>
          <t>smcapriolo@crimson.ua.edu</t>
        </is>
      </c>
      <c r="I274" s="38" t="inlineStr">
        <is>
          <t>2026-04-02</t>
        </is>
      </c>
      <c r="J274" s="38" t="n"/>
      <c r="K274" s="38" t="inlineStr">
        <is>
          <t>NO</t>
        </is>
      </c>
      <c r="L274" s="39" t="inlineStr">
        <is>
          <t>New Lead</t>
        </is>
      </c>
      <c r="M274" s="38" t="n"/>
      <c r="N274" s="38" t="n"/>
      <c r="O274" s="38" t="n"/>
      <c r="P274" s="38" t="n">
        <v>2500</v>
      </c>
      <c r="Q274" s="38" t="n">
        <v>0</v>
      </c>
      <c r="R274" s="40">
        <f>IF(J274="","",TODAY()-DATE(LEFT(J274,4)*1,MID(J274,6,2)*1,RIGHT(J274,2)*1))</f>
        <v/>
      </c>
    </row>
    <row r="275" ht="18" customHeight="1" s="31">
      <c r="A275" s="34" t="n">
        <v>273</v>
      </c>
      <c r="B275" s="34" t="inlineStr">
        <is>
          <t>Erick</t>
        </is>
      </c>
      <c r="C275" s="34" t="inlineStr">
        <is>
          <t>Carranza</t>
        </is>
      </c>
      <c r="D275" s="34" t="inlineStr">
        <is>
          <t>University of Alabama</t>
        </is>
      </c>
      <c r="E275" s="34" t="inlineStr">
        <is>
          <t>Psychology</t>
        </is>
      </c>
      <c r="F275" s="35" t="inlineStr">
        <is>
          <t>High</t>
        </is>
      </c>
      <c r="G275" s="35" t="inlineStr">
        <is>
          <t>High</t>
        </is>
      </c>
      <c r="H275" s="34" t="inlineStr">
        <is>
          <t>ecarranza@crimson.ua.edu</t>
        </is>
      </c>
      <c r="I275" s="34" t="inlineStr">
        <is>
          <t>2026-04-02</t>
        </is>
      </c>
      <c r="J275" s="34" t="n"/>
      <c r="K275" s="34" t="inlineStr">
        <is>
          <t>NO</t>
        </is>
      </c>
      <c r="L275" s="36" t="inlineStr">
        <is>
          <t>New Lead</t>
        </is>
      </c>
      <c r="M275" s="34" t="n"/>
      <c r="N275" s="34" t="n"/>
      <c r="O275" s="34" t="n"/>
      <c r="P275" s="34" t="n">
        <v>2500</v>
      </c>
      <c r="Q275" s="34" t="n">
        <v>0</v>
      </c>
      <c r="R275" s="37">
        <f>IF(J275="","",TODAY()-DATE(LEFT(J275,4)*1,MID(J275,6,2)*1,RIGHT(J275,2)*1))</f>
        <v/>
      </c>
    </row>
    <row r="276" ht="18" customHeight="1" s="31">
      <c r="A276" s="38" t="n">
        <v>274</v>
      </c>
      <c r="B276" s="38" t="inlineStr">
        <is>
          <t>Jack</t>
        </is>
      </c>
      <c r="C276" s="38" t="inlineStr">
        <is>
          <t>Cassell</t>
        </is>
      </c>
      <c r="D276" s="38" t="inlineStr">
        <is>
          <t>University of Alabama</t>
        </is>
      </c>
      <c r="E276" s="38" t="inlineStr">
        <is>
          <t>Psychology</t>
        </is>
      </c>
      <c r="F276" s="35" t="inlineStr">
        <is>
          <t>High</t>
        </is>
      </c>
      <c r="G276" s="35" t="inlineStr">
        <is>
          <t>High</t>
        </is>
      </c>
      <c r="H276" s="38" t="inlineStr">
        <is>
          <t>jacassell@crimson.ua.edu</t>
        </is>
      </c>
      <c r="I276" s="38" t="inlineStr">
        <is>
          <t>2026-04-02</t>
        </is>
      </c>
      <c r="J276" s="38" t="n"/>
      <c r="K276" s="38" t="inlineStr">
        <is>
          <t>NO</t>
        </is>
      </c>
      <c r="L276" s="39" t="inlineStr">
        <is>
          <t>New Lead</t>
        </is>
      </c>
      <c r="M276" s="38" t="n"/>
      <c r="N276" s="38" t="n"/>
      <c r="O276" s="38" t="n"/>
      <c r="P276" s="38" t="n">
        <v>2500</v>
      </c>
      <c r="Q276" s="38" t="n">
        <v>0</v>
      </c>
      <c r="R276" s="40">
        <f>IF(J276="","",TODAY()-DATE(LEFT(J276,4)*1,MID(J276,6,2)*1,RIGHT(J276,2)*1))</f>
        <v/>
      </c>
    </row>
    <row r="277" ht="18" customHeight="1" s="31">
      <c r="A277" s="34" t="n">
        <v>275</v>
      </c>
      <c r="B277" s="34" t="inlineStr">
        <is>
          <t>Harriet</t>
        </is>
      </c>
      <c r="C277" s="34" t="inlineStr">
        <is>
          <t>DeGroot</t>
        </is>
      </c>
      <c r="D277" s="34" t="inlineStr">
        <is>
          <t>University of Alabama</t>
        </is>
      </c>
      <c r="E277" s="34" t="inlineStr">
        <is>
          <t>Psychology</t>
        </is>
      </c>
      <c r="F277" s="35" t="inlineStr">
        <is>
          <t>High</t>
        </is>
      </c>
      <c r="G277" s="35" t="inlineStr">
        <is>
          <t>High</t>
        </is>
      </c>
      <c r="H277" s="34" t="inlineStr">
        <is>
          <t>hrdegroot@crimson.ua.edu</t>
        </is>
      </c>
      <c r="I277" s="34" t="inlineStr">
        <is>
          <t>2026-04-02</t>
        </is>
      </c>
      <c r="J277" s="34" t="n"/>
      <c r="K277" s="34" t="inlineStr">
        <is>
          <t>NO</t>
        </is>
      </c>
      <c r="L277" s="36" t="inlineStr">
        <is>
          <t>New Lead</t>
        </is>
      </c>
      <c r="M277" s="34" t="n"/>
      <c r="N277" s="34" t="n"/>
      <c r="O277" s="34" t="n"/>
      <c r="P277" s="34" t="n">
        <v>2500</v>
      </c>
      <c r="Q277" s="34" t="n">
        <v>0</v>
      </c>
      <c r="R277" s="37">
        <f>IF(J277="","",TODAY()-DATE(LEFT(J277,4)*1,MID(J277,6,2)*1,RIGHT(J277,2)*1))</f>
        <v/>
      </c>
    </row>
    <row r="278" ht="18" customHeight="1" s="31">
      <c r="A278" s="38" t="n">
        <v>276</v>
      </c>
      <c r="B278" s="38" t="inlineStr">
        <is>
          <t>Liz</t>
        </is>
      </c>
      <c r="C278" s="38" t="inlineStr">
        <is>
          <t>Ennis</t>
        </is>
      </c>
      <c r="D278" s="38" t="inlineStr">
        <is>
          <t>University of Alabama</t>
        </is>
      </c>
      <c r="E278" s="38" t="inlineStr">
        <is>
          <t>Psychology</t>
        </is>
      </c>
      <c r="F278" s="35" t="inlineStr">
        <is>
          <t>High</t>
        </is>
      </c>
      <c r="G278" s="35" t="inlineStr">
        <is>
          <t>High</t>
        </is>
      </c>
      <c r="H278" s="38" t="inlineStr">
        <is>
          <t>ejennis@crimson.ua.edu</t>
        </is>
      </c>
      <c r="I278" s="38" t="inlineStr">
        <is>
          <t>2026-04-02</t>
        </is>
      </c>
      <c r="J278" s="38" t="n"/>
      <c r="K278" s="38" t="inlineStr">
        <is>
          <t>NO</t>
        </is>
      </c>
      <c r="L278" s="39" t="inlineStr">
        <is>
          <t>New Lead</t>
        </is>
      </c>
      <c r="M278" s="38" t="n"/>
      <c r="N278" s="38" t="n"/>
      <c r="O278" s="38" t="n"/>
      <c r="P278" s="38" t="n">
        <v>2500</v>
      </c>
      <c r="Q278" s="38" t="n">
        <v>0</v>
      </c>
      <c r="R278" s="40">
        <f>IF(J278="","",TODAY()-DATE(LEFT(J278,4)*1,MID(J278,6,2)*1,RIGHT(J278,2)*1))</f>
        <v/>
      </c>
    </row>
    <row r="279" ht="18" customHeight="1" s="31">
      <c r="A279" s="34" t="n">
        <v>277</v>
      </c>
      <c r="B279" s="34" t="inlineStr">
        <is>
          <t>Catherine</t>
        </is>
      </c>
      <c r="C279" s="34" t="inlineStr">
        <is>
          <t>Esbenshade</t>
        </is>
      </c>
      <c r="D279" s="34" t="inlineStr">
        <is>
          <t>University of Alabama</t>
        </is>
      </c>
      <c r="E279" s="34" t="inlineStr">
        <is>
          <t>Psychology</t>
        </is>
      </c>
      <c r="F279" s="35" t="inlineStr">
        <is>
          <t>High</t>
        </is>
      </c>
      <c r="G279" s="35" t="inlineStr">
        <is>
          <t>High</t>
        </is>
      </c>
      <c r="H279" s="34" t="inlineStr">
        <is>
          <t>chesbenshade@crimson.ua.edu</t>
        </is>
      </c>
      <c r="I279" s="34" t="inlineStr">
        <is>
          <t>2026-04-02</t>
        </is>
      </c>
      <c r="J279" s="34" t="n"/>
      <c r="K279" s="34" t="inlineStr">
        <is>
          <t>NO</t>
        </is>
      </c>
      <c r="L279" s="36" t="inlineStr">
        <is>
          <t>New Lead</t>
        </is>
      </c>
      <c r="M279" s="34" t="n"/>
      <c r="N279" s="34" t="n"/>
      <c r="O279" s="34" t="n"/>
      <c r="P279" s="34" t="n">
        <v>2500</v>
      </c>
      <c r="Q279" s="34" t="n">
        <v>0</v>
      </c>
      <c r="R279" s="37">
        <f>IF(J279="","",TODAY()-DATE(LEFT(J279,4)*1,MID(J279,6,2)*1,RIGHT(J279,2)*1))</f>
        <v/>
      </c>
    </row>
    <row r="280" ht="18" customHeight="1" s="31">
      <c r="A280" s="38" t="n">
        <v>278</v>
      </c>
      <c r="B280" s="38" t="inlineStr">
        <is>
          <t>Emily</t>
        </is>
      </c>
      <c r="C280" s="38" t="inlineStr">
        <is>
          <t>Ewing</t>
        </is>
      </c>
      <c r="D280" s="38" t="inlineStr">
        <is>
          <t>University of Alabama</t>
        </is>
      </c>
      <c r="E280" s="38" t="inlineStr">
        <is>
          <t>Psychology</t>
        </is>
      </c>
      <c r="F280" s="35" t="inlineStr">
        <is>
          <t>High</t>
        </is>
      </c>
      <c r="G280" s="35" t="inlineStr">
        <is>
          <t>High</t>
        </is>
      </c>
      <c r="H280" s="38" t="inlineStr">
        <is>
          <t>elewing@crimson.ua.edu</t>
        </is>
      </c>
      <c r="I280" s="38" t="inlineStr">
        <is>
          <t>2026-04-02</t>
        </is>
      </c>
      <c r="J280" s="38" t="n"/>
      <c r="K280" s="38" t="inlineStr">
        <is>
          <t>NO</t>
        </is>
      </c>
      <c r="L280" s="39" t="inlineStr">
        <is>
          <t>New Lead</t>
        </is>
      </c>
      <c r="M280" s="38" t="n"/>
      <c r="N280" s="38" t="n"/>
      <c r="O280" s="38" t="n"/>
      <c r="P280" s="38" t="n">
        <v>2500</v>
      </c>
      <c r="Q280" s="38" t="n">
        <v>0</v>
      </c>
      <c r="R280" s="40">
        <f>IF(J280="","",TODAY()-DATE(LEFT(J280,4)*1,MID(J280,6,2)*1,RIGHT(J280,2)*1))</f>
        <v/>
      </c>
    </row>
    <row r="281" ht="18" customHeight="1" s="31">
      <c r="A281" s="34" t="n">
        <v>279</v>
      </c>
      <c r="B281" s="34" t="inlineStr">
        <is>
          <t>Alexandra</t>
        </is>
      </c>
      <c r="C281" s="34" t="inlineStr">
        <is>
          <t>Fischer</t>
        </is>
      </c>
      <c r="D281" s="34" t="inlineStr">
        <is>
          <t>University of Alabama</t>
        </is>
      </c>
      <c r="E281" s="34" t="inlineStr">
        <is>
          <t>Psychology</t>
        </is>
      </c>
      <c r="F281" s="35" t="inlineStr">
        <is>
          <t>High</t>
        </is>
      </c>
      <c r="G281" s="35" t="inlineStr">
        <is>
          <t>High</t>
        </is>
      </c>
      <c r="H281" s="34" t="inlineStr">
        <is>
          <t>arfischer1@crimson.ua.edu</t>
        </is>
      </c>
      <c r="I281" s="34" t="inlineStr">
        <is>
          <t>2026-04-02</t>
        </is>
      </c>
      <c r="J281" s="34" t="n"/>
      <c r="K281" s="34" t="inlineStr">
        <is>
          <t>NO</t>
        </is>
      </c>
      <c r="L281" s="36" t="inlineStr">
        <is>
          <t>New Lead</t>
        </is>
      </c>
      <c r="M281" s="34" t="n"/>
      <c r="N281" s="34" t="n"/>
      <c r="O281" s="34" t="n"/>
      <c r="P281" s="34" t="n">
        <v>2500</v>
      </c>
      <c r="Q281" s="34" t="n">
        <v>0</v>
      </c>
      <c r="R281" s="37">
        <f>IF(J281="","",TODAY()-DATE(LEFT(J281,4)*1,MID(J281,6,2)*1,RIGHT(J281,2)*1))</f>
        <v/>
      </c>
    </row>
    <row r="282" ht="18" customHeight="1" s="31">
      <c r="A282" s="38" t="n">
        <v>280</v>
      </c>
      <c r="B282" s="38" t="inlineStr">
        <is>
          <t>Nicole</t>
        </is>
      </c>
      <c r="C282" s="38" t="inlineStr">
        <is>
          <t>Friedman</t>
        </is>
      </c>
      <c r="D282" s="38" t="inlineStr">
        <is>
          <t>University of Alabama</t>
        </is>
      </c>
      <c r="E282" s="38" t="inlineStr">
        <is>
          <t>Psychology</t>
        </is>
      </c>
      <c r="F282" s="35" t="inlineStr">
        <is>
          <t>High</t>
        </is>
      </c>
      <c r="G282" s="35" t="inlineStr">
        <is>
          <t>High</t>
        </is>
      </c>
      <c r="H282" s="38" t="inlineStr">
        <is>
          <t>nrfriedman1@crimson.ua.edu</t>
        </is>
      </c>
      <c r="I282" s="38" t="inlineStr">
        <is>
          <t>2026-04-02</t>
        </is>
      </c>
      <c r="J282" s="38" t="n"/>
      <c r="K282" s="38" t="inlineStr">
        <is>
          <t>NO</t>
        </is>
      </c>
      <c r="L282" s="39" t="inlineStr">
        <is>
          <t>New Lead</t>
        </is>
      </c>
      <c r="M282" s="38" t="n"/>
      <c r="N282" s="38" t="n"/>
      <c r="O282" s="38" t="n"/>
      <c r="P282" s="38" t="n">
        <v>2500</v>
      </c>
      <c r="Q282" s="38" t="n">
        <v>0</v>
      </c>
      <c r="R282" s="40">
        <f>IF(J282="","",TODAY()-DATE(LEFT(J282,4)*1,MID(J282,6,2)*1,RIGHT(J282,2)*1))</f>
        <v/>
      </c>
    </row>
    <row r="283" ht="18" customHeight="1" s="31">
      <c r="A283" s="34" t="n">
        <v>281</v>
      </c>
      <c r="B283" s="34" t="inlineStr">
        <is>
          <t>Ashley</t>
        </is>
      </c>
      <c r="C283" s="34" t="inlineStr">
        <is>
          <t>Fromenthal</t>
        </is>
      </c>
      <c r="D283" s="34" t="inlineStr">
        <is>
          <t>University of Alabama</t>
        </is>
      </c>
      <c r="E283" s="34" t="inlineStr">
        <is>
          <t>Psychology</t>
        </is>
      </c>
      <c r="F283" s="35" t="inlineStr">
        <is>
          <t>High</t>
        </is>
      </c>
      <c r="G283" s="35" t="inlineStr">
        <is>
          <t>High</t>
        </is>
      </c>
      <c r="H283" s="34" t="inlineStr">
        <is>
          <t>alfromenthal@crimson.ua.edu</t>
        </is>
      </c>
      <c r="I283" s="34" t="inlineStr">
        <is>
          <t>2026-04-02</t>
        </is>
      </c>
      <c r="J283" s="34" t="n"/>
      <c r="K283" s="34" t="inlineStr">
        <is>
          <t>NO</t>
        </is>
      </c>
      <c r="L283" s="36" t="inlineStr">
        <is>
          <t>New Lead</t>
        </is>
      </c>
      <c r="M283" s="34" t="n"/>
      <c r="N283" s="34" t="n"/>
      <c r="O283" s="34" t="n"/>
      <c r="P283" s="34" t="n">
        <v>2500</v>
      </c>
      <c r="Q283" s="34" t="n">
        <v>0</v>
      </c>
      <c r="R283" s="37">
        <f>IF(J283="","",TODAY()-DATE(LEFT(J283,4)*1,MID(J283,6,2)*1,RIGHT(J283,2)*1))</f>
        <v/>
      </c>
    </row>
    <row r="284" ht="18" customHeight="1" s="31">
      <c r="A284" s="38" t="n">
        <v>282</v>
      </c>
      <c r="B284" s="38" t="inlineStr">
        <is>
          <t>Pratibha</t>
        </is>
      </c>
      <c r="C284" s="38" t="inlineStr">
        <is>
          <t>Gautam</t>
        </is>
      </c>
      <c r="D284" s="38" t="inlineStr">
        <is>
          <t>University of Alabama</t>
        </is>
      </c>
      <c r="E284" s="38" t="inlineStr">
        <is>
          <t>Psychology</t>
        </is>
      </c>
      <c r="F284" s="35" t="inlineStr">
        <is>
          <t>High</t>
        </is>
      </c>
      <c r="G284" s="35" t="inlineStr">
        <is>
          <t>High</t>
        </is>
      </c>
      <c r="H284" s="38" t="inlineStr">
        <is>
          <t>pgautam1@crimson.ua.edu</t>
        </is>
      </c>
      <c r="I284" s="38" t="inlineStr">
        <is>
          <t>2026-04-02</t>
        </is>
      </c>
      <c r="J284" s="38" t="n"/>
      <c r="K284" s="38" t="inlineStr">
        <is>
          <t>NO</t>
        </is>
      </c>
      <c r="L284" s="39" t="inlineStr">
        <is>
          <t>New Lead</t>
        </is>
      </c>
      <c r="M284" s="38" t="n"/>
      <c r="N284" s="38" t="n"/>
      <c r="O284" s="38" t="n"/>
      <c r="P284" s="38" t="n">
        <v>2500</v>
      </c>
      <c r="Q284" s="38" t="n">
        <v>0</v>
      </c>
      <c r="R284" s="40">
        <f>IF(J284="","",TODAY()-DATE(LEFT(J284,4)*1,MID(J284,6,2)*1,RIGHT(J284,2)*1))</f>
        <v/>
      </c>
    </row>
    <row r="285" ht="18" customHeight="1" s="31">
      <c r="A285" s="34" t="n">
        <v>283</v>
      </c>
      <c r="B285" s="34" t="inlineStr">
        <is>
          <t>Sophia</t>
        </is>
      </c>
      <c r="C285" s="34" t="inlineStr">
        <is>
          <t>Geisser</t>
        </is>
      </c>
      <c r="D285" s="34" t="inlineStr">
        <is>
          <t>University of Alabama</t>
        </is>
      </c>
      <c r="E285" s="34" t="inlineStr">
        <is>
          <t>Psychology</t>
        </is>
      </c>
      <c r="F285" s="35" t="inlineStr">
        <is>
          <t>High</t>
        </is>
      </c>
      <c r="G285" s="35" t="inlineStr">
        <is>
          <t>High</t>
        </is>
      </c>
      <c r="H285" s="34" t="inlineStr">
        <is>
          <t>srgeisser@crimson.ua.edu</t>
        </is>
      </c>
      <c r="I285" s="34" t="inlineStr">
        <is>
          <t>2026-04-02</t>
        </is>
      </c>
      <c r="J285" s="34" t="n"/>
      <c r="K285" s="34" t="inlineStr">
        <is>
          <t>NO</t>
        </is>
      </c>
      <c r="L285" s="36" t="inlineStr">
        <is>
          <t>New Lead</t>
        </is>
      </c>
      <c r="M285" s="34" t="n"/>
      <c r="N285" s="34" t="n"/>
      <c r="O285" s="34" t="n"/>
      <c r="P285" s="34" t="n">
        <v>2500</v>
      </c>
      <c r="Q285" s="34" t="n">
        <v>0</v>
      </c>
      <c r="R285" s="37">
        <f>IF(J285="","",TODAY()-DATE(LEFT(J285,4)*1,MID(J285,6,2)*1,RIGHT(J285,2)*1))</f>
        <v/>
      </c>
    </row>
    <row r="286" ht="18" customHeight="1" s="31">
      <c r="A286" s="38" t="n">
        <v>284</v>
      </c>
      <c r="B286" s="38" t="inlineStr">
        <is>
          <t>Zoe</t>
        </is>
      </c>
      <c r="C286" s="38" t="inlineStr">
        <is>
          <t>Geisser</t>
        </is>
      </c>
      <c r="D286" s="38" t="inlineStr">
        <is>
          <t>University of Alabama</t>
        </is>
      </c>
      <c r="E286" s="38" t="inlineStr">
        <is>
          <t>Psychology</t>
        </is>
      </c>
      <c r="F286" s="35" t="inlineStr">
        <is>
          <t>High</t>
        </is>
      </c>
      <c r="G286" s="35" t="inlineStr">
        <is>
          <t>High</t>
        </is>
      </c>
      <c r="H286" s="38" t="inlineStr">
        <is>
          <t>zrgeisser@crimson.ua.edu</t>
        </is>
      </c>
      <c r="I286" s="38" t="inlineStr">
        <is>
          <t>2026-04-02</t>
        </is>
      </c>
      <c r="J286" s="38" t="n"/>
      <c r="K286" s="38" t="inlineStr">
        <is>
          <t>NO</t>
        </is>
      </c>
      <c r="L286" s="39" t="inlineStr">
        <is>
          <t>New Lead</t>
        </is>
      </c>
      <c r="M286" s="38" t="n"/>
      <c r="N286" s="38" t="n"/>
      <c r="O286" s="38" t="n"/>
      <c r="P286" s="38" t="n">
        <v>2500</v>
      </c>
      <c r="Q286" s="38" t="n">
        <v>0</v>
      </c>
      <c r="R286" s="40">
        <f>IF(J286="","",TODAY()-DATE(LEFT(J286,4)*1,MID(J286,6,2)*1,RIGHT(J286,2)*1))</f>
        <v/>
      </c>
    </row>
    <row r="287" ht="18" customHeight="1" s="31">
      <c r="A287" s="34" t="n">
        <v>285</v>
      </c>
      <c r="B287" s="34" t="inlineStr">
        <is>
          <t>Regina</t>
        </is>
      </c>
      <c r="C287" s="34" t="inlineStr">
        <is>
          <t>George</t>
        </is>
      </c>
      <c r="D287" s="34" t="inlineStr">
        <is>
          <t>University of Alabama</t>
        </is>
      </c>
      <c r="E287" s="34" t="inlineStr">
        <is>
          <t>Psychology</t>
        </is>
      </c>
      <c r="F287" s="35" t="inlineStr">
        <is>
          <t>High</t>
        </is>
      </c>
      <c r="G287" s="35" t="inlineStr">
        <is>
          <t>High</t>
        </is>
      </c>
      <c r="H287" s="34" t="inlineStr">
        <is>
          <t>rageorge2@crimson.ua.edu</t>
        </is>
      </c>
      <c r="I287" s="34" t="inlineStr">
        <is>
          <t>2026-04-02</t>
        </is>
      </c>
      <c r="J287" s="34" t="n"/>
      <c r="K287" s="34" t="inlineStr">
        <is>
          <t>NO</t>
        </is>
      </c>
      <c r="L287" s="36" t="inlineStr">
        <is>
          <t>New Lead</t>
        </is>
      </c>
      <c r="M287" s="34" t="n"/>
      <c r="N287" s="34" t="n"/>
      <c r="O287" s="34" t="n"/>
      <c r="P287" s="34" t="n">
        <v>2500</v>
      </c>
      <c r="Q287" s="34" t="n">
        <v>0</v>
      </c>
      <c r="R287" s="37">
        <f>IF(J287="","",TODAY()-DATE(LEFT(J287,4)*1,MID(J287,6,2)*1,RIGHT(J287,2)*1))</f>
        <v/>
      </c>
    </row>
    <row r="288" ht="18" customHeight="1" s="31">
      <c r="A288" s="38" t="n">
        <v>286</v>
      </c>
      <c r="B288" s="38" t="inlineStr">
        <is>
          <t>Janelle</t>
        </is>
      </c>
      <c r="C288" s="38" t="inlineStr">
        <is>
          <t>Gore</t>
        </is>
      </c>
      <c r="D288" s="38" t="inlineStr">
        <is>
          <t>University of Alabama</t>
        </is>
      </c>
      <c r="E288" s="38" t="inlineStr">
        <is>
          <t>Psychology</t>
        </is>
      </c>
      <c r="F288" s="35" t="inlineStr">
        <is>
          <t>High</t>
        </is>
      </c>
      <c r="G288" s="35" t="inlineStr">
        <is>
          <t>High</t>
        </is>
      </c>
      <c r="H288" s="38" t="inlineStr">
        <is>
          <t>jgore1@crimson.ua.edu</t>
        </is>
      </c>
      <c r="I288" s="38" t="inlineStr">
        <is>
          <t>2026-04-02</t>
        </is>
      </c>
      <c r="J288" s="38" t="n"/>
      <c r="K288" s="38" t="inlineStr">
        <is>
          <t>NO</t>
        </is>
      </c>
      <c r="L288" s="39" t="inlineStr">
        <is>
          <t>New Lead</t>
        </is>
      </c>
      <c r="M288" s="38" t="n"/>
      <c r="N288" s="38" t="n"/>
      <c r="O288" s="38" t="n"/>
      <c r="P288" s="38" t="n">
        <v>2500</v>
      </c>
      <c r="Q288" s="38" t="n">
        <v>0</v>
      </c>
      <c r="R288" s="40">
        <f>IF(J288="","",TODAY()-DATE(LEFT(J288,4)*1,MID(J288,6,2)*1,RIGHT(J288,2)*1))</f>
        <v/>
      </c>
    </row>
    <row r="289" ht="18" customHeight="1" s="31">
      <c r="A289" s="34" t="n">
        <v>287</v>
      </c>
      <c r="B289" s="34" t="inlineStr">
        <is>
          <t>Alex</t>
        </is>
      </c>
      <c r="C289" s="34" t="inlineStr">
        <is>
          <t>Greenberg</t>
        </is>
      </c>
      <c r="D289" s="34" t="inlineStr">
        <is>
          <t>University of Alabama</t>
        </is>
      </c>
      <c r="E289" s="34" t="inlineStr">
        <is>
          <t>Psychology</t>
        </is>
      </c>
      <c r="F289" s="35" t="inlineStr">
        <is>
          <t>High</t>
        </is>
      </c>
      <c r="G289" s="35" t="inlineStr">
        <is>
          <t>High</t>
        </is>
      </c>
      <c r="H289" s="34" t="inlineStr">
        <is>
          <t>ajgreenberg@crimson.ua.edu</t>
        </is>
      </c>
      <c r="I289" s="34" t="inlineStr">
        <is>
          <t>2026-04-02</t>
        </is>
      </c>
      <c r="J289" s="34" t="n"/>
      <c r="K289" s="34" t="inlineStr">
        <is>
          <t>NO</t>
        </is>
      </c>
      <c r="L289" s="36" t="inlineStr">
        <is>
          <t>New Lead</t>
        </is>
      </c>
      <c r="M289" s="34" t="n"/>
      <c r="N289" s="34" t="n"/>
      <c r="O289" s="34" t="n"/>
      <c r="P289" s="34" t="n">
        <v>2500</v>
      </c>
      <c r="Q289" s="34" t="n">
        <v>0</v>
      </c>
      <c r="R289" s="37">
        <f>IF(J289="","",TODAY()-DATE(LEFT(J289,4)*1,MID(J289,6,2)*1,RIGHT(J289,2)*1))</f>
        <v/>
      </c>
    </row>
    <row r="290" ht="18" customHeight="1" s="31">
      <c r="A290" s="38" t="n">
        <v>288</v>
      </c>
      <c r="B290" s="38" t="inlineStr">
        <is>
          <t>Emily</t>
        </is>
      </c>
      <c r="C290" s="38" t="inlineStr">
        <is>
          <t>Gregg</t>
        </is>
      </c>
      <c r="D290" s="38" t="inlineStr">
        <is>
          <t>University of Alabama</t>
        </is>
      </c>
      <c r="E290" s="38" t="inlineStr">
        <is>
          <t>Psychology</t>
        </is>
      </c>
      <c r="F290" s="35" t="inlineStr">
        <is>
          <t>High</t>
        </is>
      </c>
      <c r="G290" s="35" t="inlineStr">
        <is>
          <t>High</t>
        </is>
      </c>
      <c r="H290" s="38" t="inlineStr">
        <is>
          <t>eegregg@crimson.ua.edu</t>
        </is>
      </c>
      <c r="I290" s="38" t="inlineStr">
        <is>
          <t>2026-04-02</t>
        </is>
      </c>
      <c r="J290" s="38" t="n"/>
      <c r="K290" s="38" t="inlineStr">
        <is>
          <t>NO</t>
        </is>
      </c>
      <c r="L290" s="39" t="inlineStr">
        <is>
          <t>New Lead</t>
        </is>
      </c>
      <c r="M290" s="38" t="n"/>
      <c r="N290" s="38" t="n"/>
      <c r="O290" s="38" t="n"/>
      <c r="P290" s="38" t="n">
        <v>2500</v>
      </c>
      <c r="Q290" s="38" t="n">
        <v>0</v>
      </c>
      <c r="R290" s="40">
        <f>IF(J290="","",TODAY()-DATE(LEFT(J290,4)*1,MID(J290,6,2)*1,RIGHT(J290,2)*1))</f>
        <v/>
      </c>
    </row>
    <row r="291" ht="18" customHeight="1" s="31">
      <c r="A291" s="34" t="n">
        <v>289</v>
      </c>
      <c r="B291" s="34" t="inlineStr">
        <is>
          <t>Mahtab</t>
        </is>
      </c>
      <c r="C291" s="34" t="inlineStr">
        <is>
          <t>Haghshenas</t>
        </is>
      </c>
      <c r="D291" s="34" t="inlineStr">
        <is>
          <t>University of Alabama</t>
        </is>
      </c>
      <c r="E291" s="34" t="inlineStr">
        <is>
          <t>Psychology</t>
        </is>
      </c>
      <c r="F291" s="35" t="inlineStr">
        <is>
          <t>High</t>
        </is>
      </c>
      <c r="G291" s="35" t="inlineStr">
        <is>
          <t>High</t>
        </is>
      </c>
      <c r="H291" s="34" t="inlineStr">
        <is>
          <t>mhaghshenas1@crimson.ua.edu</t>
        </is>
      </c>
      <c r="I291" s="34" t="inlineStr">
        <is>
          <t>2026-04-02</t>
        </is>
      </c>
      <c r="J291" s="34" t="n"/>
      <c r="K291" s="34" t="inlineStr">
        <is>
          <t>NO</t>
        </is>
      </c>
      <c r="L291" s="36" t="inlineStr">
        <is>
          <t>New Lead</t>
        </is>
      </c>
      <c r="M291" s="34" t="n"/>
      <c r="N291" s="34" t="n"/>
      <c r="O291" s="34" t="n"/>
      <c r="P291" s="34" t="n">
        <v>2500</v>
      </c>
      <c r="Q291" s="34" t="n">
        <v>0</v>
      </c>
      <c r="R291" s="37">
        <f>IF(J291="","",TODAY()-DATE(LEFT(J291,4)*1,MID(J291,6,2)*1,RIGHT(J291,2)*1))</f>
        <v/>
      </c>
    </row>
    <row r="292" ht="18" customHeight="1" s="31">
      <c r="A292" s="38" t="n">
        <v>290</v>
      </c>
      <c r="B292" s="38" t="inlineStr">
        <is>
          <t>Braden</t>
        </is>
      </c>
      <c r="C292" s="38" t="inlineStr">
        <is>
          <t>Hall</t>
        </is>
      </c>
      <c r="D292" s="38" t="inlineStr">
        <is>
          <t>University of Alabama</t>
        </is>
      </c>
      <c r="E292" s="38" t="inlineStr">
        <is>
          <t>Psychology</t>
        </is>
      </c>
      <c r="F292" s="35" t="inlineStr">
        <is>
          <t>High</t>
        </is>
      </c>
      <c r="G292" s="35" t="inlineStr">
        <is>
          <t>High</t>
        </is>
      </c>
      <c r="H292" s="38" t="inlineStr">
        <is>
          <t>bthall3@crimson.ua.edu</t>
        </is>
      </c>
      <c r="I292" s="38" t="inlineStr">
        <is>
          <t>2026-04-02</t>
        </is>
      </c>
      <c r="J292" s="38" t="n"/>
      <c r="K292" s="38" t="inlineStr">
        <is>
          <t>NO</t>
        </is>
      </c>
      <c r="L292" s="39" t="inlineStr">
        <is>
          <t>New Lead</t>
        </is>
      </c>
      <c r="M292" s="38" t="n"/>
      <c r="N292" s="38" t="n"/>
      <c r="O292" s="38" t="n"/>
      <c r="P292" s="38" t="n">
        <v>2500</v>
      </c>
      <c r="Q292" s="38" t="n">
        <v>0</v>
      </c>
      <c r="R292" s="40">
        <f>IF(J292="","",TODAY()-DATE(LEFT(J292,4)*1,MID(J292,6,2)*1,RIGHT(J292,2)*1))</f>
        <v/>
      </c>
    </row>
    <row r="293" ht="18" customHeight="1" s="31">
      <c r="A293" s="34" t="n">
        <v>291</v>
      </c>
      <c r="B293" s="34" t="inlineStr">
        <is>
          <t>Emily</t>
        </is>
      </c>
      <c r="C293" s="34" t="inlineStr">
        <is>
          <t>Halvorson</t>
        </is>
      </c>
      <c r="D293" s="34" t="inlineStr">
        <is>
          <t>University of Alabama</t>
        </is>
      </c>
      <c r="E293" s="34" t="inlineStr">
        <is>
          <t>Psychology</t>
        </is>
      </c>
      <c r="F293" s="35" t="inlineStr">
        <is>
          <t>High</t>
        </is>
      </c>
      <c r="G293" s="35" t="inlineStr">
        <is>
          <t>High</t>
        </is>
      </c>
      <c r="H293" s="34" t="inlineStr">
        <is>
          <t>eahalvorson@crimson.ua.edu</t>
        </is>
      </c>
      <c r="I293" s="34" t="inlineStr">
        <is>
          <t>2026-04-02</t>
        </is>
      </c>
      <c r="J293" s="34" t="n"/>
      <c r="K293" s="34" t="inlineStr">
        <is>
          <t>NO</t>
        </is>
      </c>
      <c r="L293" s="36" t="inlineStr">
        <is>
          <t>New Lead</t>
        </is>
      </c>
      <c r="M293" s="34" t="n"/>
      <c r="N293" s="34" t="n"/>
      <c r="O293" s="34" t="n"/>
      <c r="P293" s="34" t="n">
        <v>2500</v>
      </c>
      <c r="Q293" s="34" t="n">
        <v>0</v>
      </c>
      <c r="R293" s="37">
        <f>IF(J293="","",TODAY()-DATE(LEFT(J293,4)*1,MID(J293,6,2)*1,RIGHT(J293,2)*1))</f>
        <v/>
      </c>
    </row>
    <row r="294" ht="18" customHeight="1" s="31">
      <c r="A294" s="38" t="n">
        <v>292</v>
      </c>
      <c r="B294" s="38" t="inlineStr">
        <is>
          <t>Rachel</t>
        </is>
      </c>
      <c r="C294" s="38" t="inlineStr">
        <is>
          <t>Harmon</t>
        </is>
      </c>
      <c r="D294" s="38" t="inlineStr">
        <is>
          <t>University of Alabama</t>
        </is>
      </c>
      <c r="E294" s="38" t="inlineStr">
        <is>
          <t>Psychology</t>
        </is>
      </c>
      <c r="F294" s="35" t="inlineStr">
        <is>
          <t>High</t>
        </is>
      </c>
      <c r="G294" s="35" t="inlineStr">
        <is>
          <t>High</t>
        </is>
      </c>
      <c r="H294" s="38" t="inlineStr">
        <is>
          <t>rlharmon@crimson.ua.edu</t>
        </is>
      </c>
      <c r="I294" s="38" t="inlineStr">
        <is>
          <t>2026-04-02</t>
        </is>
      </c>
      <c r="J294" s="38" t="n"/>
      <c r="K294" s="38" t="inlineStr">
        <is>
          <t>NO</t>
        </is>
      </c>
      <c r="L294" s="39" t="inlineStr">
        <is>
          <t>New Lead</t>
        </is>
      </c>
      <c r="M294" s="38" t="n"/>
      <c r="N294" s="38" t="n"/>
      <c r="O294" s="38" t="n"/>
      <c r="P294" s="38" t="n">
        <v>2500</v>
      </c>
      <c r="Q294" s="38" t="n">
        <v>0</v>
      </c>
      <c r="R294" s="40">
        <f>IF(J294="","",TODAY()-DATE(LEFT(J294,4)*1,MID(J294,6,2)*1,RIGHT(J294,2)*1))</f>
        <v/>
      </c>
    </row>
    <row r="295" ht="18" customHeight="1" s="31">
      <c r="A295" s="34" t="n">
        <v>293</v>
      </c>
      <c r="B295" s="34" t="inlineStr">
        <is>
          <t>Jenna</t>
        </is>
      </c>
      <c r="C295" s="34" t="inlineStr">
        <is>
          <t>Hayes</t>
        </is>
      </c>
      <c r="D295" s="34" t="inlineStr">
        <is>
          <t>University of Alabama</t>
        </is>
      </c>
      <c r="E295" s="34" t="inlineStr">
        <is>
          <t>Psychology</t>
        </is>
      </c>
      <c r="F295" s="35" t="inlineStr">
        <is>
          <t>High</t>
        </is>
      </c>
      <c r="G295" s="35" t="inlineStr">
        <is>
          <t>High</t>
        </is>
      </c>
      <c r="H295" s="34" t="inlineStr">
        <is>
          <t>jkhayes2@crimson.ua.edu</t>
        </is>
      </c>
      <c r="I295" s="34" t="inlineStr">
        <is>
          <t>2026-04-02</t>
        </is>
      </c>
      <c r="J295" s="34" t="n"/>
      <c r="K295" s="34" t="inlineStr">
        <is>
          <t>NO</t>
        </is>
      </c>
      <c r="L295" s="36" t="inlineStr">
        <is>
          <t>New Lead</t>
        </is>
      </c>
      <c r="M295" s="34" t="n"/>
      <c r="N295" s="34" t="n"/>
      <c r="O295" s="34" t="n"/>
      <c r="P295" s="34" t="n">
        <v>2500</v>
      </c>
      <c r="Q295" s="34" t="n">
        <v>0</v>
      </c>
      <c r="R295" s="37">
        <f>IF(J295="","",TODAY()-DATE(LEFT(J295,4)*1,MID(J295,6,2)*1,RIGHT(J295,2)*1))</f>
        <v/>
      </c>
    </row>
    <row r="296" ht="18" customHeight="1" s="31">
      <c r="A296" s="38" t="n">
        <v>294</v>
      </c>
      <c r="B296" s="38" t="inlineStr">
        <is>
          <t>Lily</t>
        </is>
      </c>
      <c r="C296" s="38" t="inlineStr">
        <is>
          <t>Heddinghaus</t>
        </is>
      </c>
      <c r="D296" s="38" t="inlineStr">
        <is>
          <t>University of Alabama</t>
        </is>
      </c>
      <c r="E296" s="38" t="inlineStr">
        <is>
          <t>Psychology</t>
        </is>
      </c>
      <c r="F296" s="35" t="inlineStr">
        <is>
          <t>High</t>
        </is>
      </c>
      <c r="G296" s="35" t="inlineStr">
        <is>
          <t>High</t>
        </is>
      </c>
      <c r="H296" s="38" t="inlineStr">
        <is>
          <t>lcheddinghaus@crimson.ua.edu</t>
        </is>
      </c>
      <c r="I296" s="38" t="inlineStr">
        <is>
          <t>2026-04-02</t>
        </is>
      </c>
      <c r="J296" s="38" t="n"/>
      <c r="K296" s="38" t="inlineStr">
        <is>
          <t>NO</t>
        </is>
      </c>
      <c r="L296" s="39" t="inlineStr">
        <is>
          <t>New Lead</t>
        </is>
      </c>
      <c r="M296" s="38" t="n"/>
      <c r="N296" s="38" t="n"/>
      <c r="O296" s="38" t="n"/>
      <c r="P296" s="38" t="n">
        <v>2500</v>
      </c>
      <c r="Q296" s="38" t="n">
        <v>0</v>
      </c>
      <c r="R296" s="40">
        <f>IF(J296="","",TODAY()-DATE(LEFT(J296,4)*1,MID(J296,6,2)*1,RIGHT(J296,2)*1))</f>
        <v/>
      </c>
    </row>
    <row r="297" ht="18" customHeight="1" s="31">
      <c r="A297" s="34" t="n">
        <v>295</v>
      </c>
      <c r="B297" s="34" t="inlineStr">
        <is>
          <t>Paige</t>
        </is>
      </c>
      <c r="C297" s="34" t="inlineStr">
        <is>
          <t>Hemming</t>
        </is>
      </c>
      <c r="D297" s="34" t="inlineStr">
        <is>
          <t>University of Alabama</t>
        </is>
      </c>
      <c r="E297" s="34" t="inlineStr">
        <is>
          <t>Psychology</t>
        </is>
      </c>
      <c r="F297" s="35" t="inlineStr">
        <is>
          <t>High</t>
        </is>
      </c>
      <c r="G297" s="35" t="inlineStr">
        <is>
          <t>High</t>
        </is>
      </c>
      <c r="H297" s="34" t="inlineStr">
        <is>
          <t>pehemming@crimson.ua.edu</t>
        </is>
      </c>
      <c r="I297" s="34" t="inlineStr">
        <is>
          <t>2026-04-02</t>
        </is>
      </c>
      <c r="J297" s="34" t="n"/>
      <c r="K297" s="34" t="inlineStr">
        <is>
          <t>NO</t>
        </is>
      </c>
      <c r="L297" s="36" t="inlineStr">
        <is>
          <t>New Lead</t>
        </is>
      </c>
      <c r="M297" s="34" t="n"/>
      <c r="N297" s="34" t="n"/>
      <c r="O297" s="34" t="n"/>
      <c r="P297" s="34" t="n">
        <v>2500</v>
      </c>
      <c r="Q297" s="34" t="n">
        <v>0</v>
      </c>
      <c r="R297" s="37">
        <f>IF(J297="","",TODAY()-DATE(LEFT(J297,4)*1,MID(J297,6,2)*1,RIGHT(J297,2)*1))</f>
        <v/>
      </c>
    </row>
    <row r="298" ht="18" customHeight="1" s="31">
      <c r="A298" s="38" t="n">
        <v>296</v>
      </c>
      <c r="B298" s="38" t="inlineStr">
        <is>
          <t>Cassandra</t>
        </is>
      </c>
      <c r="C298" s="38" t="inlineStr">
        <is>
          <t>Jensen</t>
        </is>
      </c>
      <c r="D298" s="38" t="inlineStr">
        <is>
          <t>University of Alabama</t>
        </is>
      </c>
      <c r="E298" s="38" t="inlineStr">
        <is>
          <t>Psychology</t>
        </is>
      </c>
      <c r="F298" s="35" t="inlineStr">
        <is>
          <t>High</t>
        </is>
      </c>
      <c r="G298" s="35" t="inlineStr">
        <is>
          <t>High</t>
        </is>
      </c>
      <c r="H298" s="38" t="inlineStr">
        <is>
          <t>cmjensen1@crimson.ua.edu</t>
        </is>
      </c>
      <c r="I298" s="38" t="inlineStr">
        <is>
          <t>2026-04-02</t>
        </is>
      </c>
      <c r="J298" s="38" t="n"/>
      <c r="K298" s="38" t="inlineStr">
        <is>
          <t>NO</t>
        </is>
      </c>
      <c r="L298" s="39" t="inlineStr">
        <is>
          <t>New Lead</t>
        </is>
      </c>
      <c r="M298" s="38" t="n"/>
      <c r="N298" s="38" t="n"/>
      <c r="O298" s="38" t="n"/>
      <c r="P298" s="38" t="n">
        <v>2500</v>
      </c>
      <c r="Q298" s="38" t="n">
        <v>0</v>
      </c>
      <c r="R298" s="40">
        <f>IF(J298="","",TODAY()-DATE(LEFT(J298,4)*1,MID(J298,6,2)*1,RIGHT(J298,2)*1))</f>
        <v/>
      </c>
    </row>
    <row r="299" ht="18" customHeight="1" s="31">
      <c r="A299" s="34" t="n">
        <v>297</v>
      </c>
      <c r="B299" s="34" t="inlineStr">
        <is>
          <t>Alexandra</t>
        </is>
      </c>
      <c r="C299" s="34" t="inlineStr">
        <is>
          <t>Kalinyak</t>
        </is>
      </c>
      <c r="D299" s="34" t="inlineStr">
        <is>
          <t>University of Alabama</t>
        </is>
      </c>
      <c r="E299" s="34" t="inlineStr">
        <is>
          <t>Psychology</t>
        </is>
      </c>
      <c r="F299" s="35" t="inlineStr">
        <is>
          <t>High</t>
        </is>
      </c>
      <c r="G299" s="35" t="inlineStr">
        <is>
          <t>High</t>
        </is>
      </c>
      <c r="H299" s="34" t="inlineStr">
        <is>
          <t>achickey1@crimson.ua.edu</t>
        </is>
      </c>
      <c r="I299" s="34" t="inlineStr">
        <is>
          <t>2026-04-02</t>
        </is>
      </c>
      <c r="J299" s="34" t="n"/>
      <c r="K299" s="34" t="inlineStr">
        <is>
          <t>NO</t>
        </is>
      </c>
      <c r="L299" s="36" t="inlineStr">
        <is>
          <t>New Lead</t>
        </is>
      </c>
      <c r="M299" s="34" t="n"/>
      <c r="N299" s="34" t="n"/>
      <c r="O299" s="34" t="n"/>
      <c r="P299" s="34" t="n">
        <v>2500</v>
      </c>
      <c r="Q299" s="34" t="n">
        <v>0</v>
      </c>
      <c r="R299" s="37">
        <f>IF(J299="","",TODAY()-DATE(LEFT(J299,4)*1,MID(J299,6,2)*1,RIGHT(J299,2)*1))</f>
        <v/>
      </c>
    </row>
    <row r="300" ht="18" customHeight="1" s="31">
      <c r="A300" s="38" t="n">
        <v>298</v>
      </c>
      <c r="B300" s="38" t="inlineStr">
        <is>
          <t>Brooklyn</t>
        </is>
      </c>
      <c r="C300" s="38" t="inlineStr">
        <is>
          <t>King</t>
        </is>
      </c>
      <c r="D300" s="38" t="inlineStr">
        <is>
          <t>University of Alabama</t>
        </is>
      </c>
      <c r="E300" s="38" t="inlineStr">
        <is>
          <t>Psychology</t>
        </is>
      </c>
      <c r="F300" s="35" t="inlineStr">
        <is>
          <t>High</t>
        </is>
      </c>
      <c r="G300" s="35" t="inlineStr">
        <is>
          <t>High</t>
        </is>
      </c>
      <c r="H300" s="38" t="inlineStr">
        <is>
          <t>bkking2@crimson.ua.edu</t>
        </is>
      </c>
      <c r="I300" s="38" t="inlineStr">
        <is>
          <t>2026-04-02</t>
        </is>
      </c>
      <c r="J300" s="38" t="n"/>
      <c r="K300" s="38" t="inlineStr">
        <is>
          <t>NO</t>
        </is>
      </c>
      <c r="L300" s="39" t="inlineStr">
        <is>
          <t>New Lead</t>
        </is>
      </c>
      <c r="M300" s="38" t="n"/>
      <c r="N300" s="38" t="n"/>
      <c r="O300" s="38" t="n"/>
      <c r="P300" s="38" t="n">
        <v>2500</v>
      </c>
      <c r="Q300" s="38" t="n">
        <v>0</v>
      </c>
      <c r="R300" s="40">
        <f>IF(J300="","",TODAY()-DATE(LEFT(J300,4)*1,MID(J300,6,2)*1,RIGHT(J300,2)*1))</f>
        <v/>
      </c>
    </row>
    <row r="301" ht="18" customHeight="1" s="31">
      <c r="A301" s="34" t="n">
        <v>299</v>
      </c>
      <c r="B301" s="34" t="inlineStr">
        <is>
          <t>McKayla</t>
        </is>
      </c>
      <c r="C301" s="34" t="inlineStr">
        <is>
          <t>Kurtz</t>
        </is>
      </c>
      <c r="D301" s="34" t="inlineStr">
        <is>
          <t>University of Alabama</t>
        </is>
      </c>
      <c r="E301" s="34" t="inlineStr">
        <is>
          <t>Psychology</t>
        </is>
      </c>
      <c r="F301" s="35" t="inlineStr">
        <is>
          <t>High</t>
        </is>
      </c>
      <c r="G301" s="35" t="inlineStr">
        <is>
          <t>High</t>
        </is>
      </c>
      <c r="H301" s="34" t="inlineStr">
        <is>
          <t>mkurtz1@crimson.ua.edu</t>
        </is>
      </c>
      <c r="I301" s="34" t="inlineStr">
        <is>
          <t>2026-04-02</t>
        </is>
      </c>
      <c r="J301" s="34" t="n"/>
      <c r="K301" s="34" t="inlineStr">
        <is>
          <t>NO</t>
        </is>
      </c>
      <c r="L301" s="36" t="inlineStr">
        <is>
          <t>New Lead</t>
        </is>
      </c>
      <c r="M301" s="34" t="n"/>
      <c r="N301" s="34" t="n"/>
      <c r="O301" s="34" t="n"/>
      <c r="P301" s="34" t="n">
        <v>2500</v>
      </c>
      <c r="Q301" s="34" t="n">
        <v>0</v>
      </c>
      <c r="R301" s="37">
        <f>IF(J301="","",TODAY()-DATE(LEFT(J301,4)*1,MID(J301,6,2)*1,RIGHT(J301,2)*1))</f>
        <v/>
      </c>
    </row>
    <row r="302" ht="18" customHeight="1" s="31">
      <c r="A302" s="38" t="n">
        <v>300</v>
      </c>
      <c r="B302" s="38" t="inlineStr">
        <is>
          <t>Nell</t>
        </is>
      </c>
      <c r="C302" s="38" t="inlineStr">
        <is>
          <t>Lambdin</t>
        </is>
      </c>
      <c r="D302" s="38" t="inlineStr">
        <is>
          <t>University of Alabama</t>
        </is>
      </c>
      <c r="E302" s="38" t="inlineStr">
        <is>
          <t>Psychology</t>
        </is>
      </c>
      <c r="F302" s="35" t="inlineStr">
        <is>
          <t>High</t>
        </is>
      </c>
      <c r="G302" s="35" t="inlineStr">
        <is>
          <t>High</t>
        </is>
      </c>
      <c r="H302" s="38" t="inlineStr">
        <is>
          <t>mnlambdin@crimson.ua.edu</t>
        </is>
      </c>
      <c r="I302" s="38" t="inlineStr">
        <is>
          <t>2026-04-02</t>
        </is>
      </c>
      <c r="J302" s="38" t="n"/>
      <c r="K302" s="38" t="inlineStr">
        <is>
          <t>NO</t>
        </is>
      </c>
      <c r="L302" s="39" t="inlineStr">
        <is>
          <t>New Lead</t>
        </is>
      </c>
      <c r="M302" s="38" t="n"/>
      <c r="N302" s="38" t="n"/>
      <c r="O302" s="38" t="n"/>
      <c r="P302" s="38" t="n">
        <v>2500</v>
      </c>
      <c r="Q302" s="38" t="n">
        <v>0</v>
      </c>
      <c r="R302" s="40">
        <f>IF(J302="","",TODAY()-DATE(LEFT(J302,4)*1,MID(J302,6,2)*1,RIGHT(J302,2)*1))</f>
        <v/>
      </c>
    </row>
    <row r="303" ht="18" customHeight="1" s="31">
      <c r="A303" s="34" t="n">
        <v>301</v>
      </c>
      <c r="B303" s="34" t="inlineStr">
        <is>
          <t>Josh</t>
        </is>
      </c>
      <c r="C303" s="34" t="inlineStr">
        <is>
          <t>Lambert</t>
        </is>
      </c>
      <c r="D303" s="34" t="inlineStr">
        <is>
          <t>University of Alabama</t>
        </is>
      </c>
      <c r="E303" s="34" t="inlineStr">
        <is>
          <t>Psychology</t>
        </is>
      </c>
      <c r="F303" s="35" t="inlineStr">
        <is>
          <t>High</t>
        </is>
      </c>
      <c r="G303" s="35" t="inlineStr">
        <is>
          <t>High</t>
        </is>
      </c>
      <c r="H303" s="34" t="inlineStr">
        <is>
          <t>jtlambert1@crimson.ua.edu</t>
        </is>
      </c>
      <c r="I303" s="34" t="inlineStr">
        <is>
          <t>2026-04-02</t>
        </is>
      </c>
      <c r="J303" s="34" t="n"/>
      <c r="K303" s="34" t="inlineStr">
        <is>
          <t>NO</t>
        </is>
      </c>
      <c r="L303" s="36" t="inlineStr">
        <is>
          <t>New Lead</t>
        </is>
      </c>
      <c r="M303" s="34" t="n"/>
      <c r="N303" s="34" t="n"/>
      <c r="O303" s="34" t="n"/>
      <c r="P303" s="34" t="n">
        <v>2500</v>
      </c>
      <c r="Q303" s="34" t="n">
        <v>0</v>
      </c>
      <c r="R303" s="37">
        <f>IF(J303="","",TODAY()-DATE(LEFT(J303,4)*1,MID(J303,6,2)*1,RIGHT(J303,2)*1))</f>
        <v/>
      </c>
    </row>
    <row r="304" ht="18" customHeight="1" s="31">
      <c r="A304" s="38" t="n">
        <v>302</v>
      </c>
      <c r="B304" s="38" t="inlineStr">
        <is>
          <t>Savannah</t>
        </is>
      </c>
      <c r="C304" s="38" t="inlineStr">
        <is>
          <t>Lewis</t>
        </is>
      </c>
      <c r="D304" s="38" t="inlineStr">
        <is>
          <t>University of Alabama</t>
        </is>
      </c>
      <c r="E304" s="38" t="inlineStr">
        <is>
          <t>Psychology</t>
        </is>
      </c>
      <c r="F304" s="35" t="inlineStr">
        <is>
          <t>High</t>
        </is>
      </c>
      <c r="G304" s="35" t="inlineStr">
        <is>
          <t>High</t>
        </is>
      </c>
      <c r="H304" s="38" t="inlineStr">
        <is>
          <t>slewis20@crimson.ua.edu</t>
        </is>
      </c>
      <c r="I304" s="38" t="inlineStr">
        <is>
          <t>2026-04-02</t>
        </is>
      </c>
      <c r="J304" s="38" t="n"/>
      <c r="K304" s="38" t="inlineStr">
        <is>
          <t>NO</t>
        </is>
      </c>
      <c r="L304" s="39" t="inlineStr">
        <is>
          <t>New Lead</t>
        </is>
      </c>
      <c r="M304" s="38" t="n"/>
      <c r="N304" s="38" t="n"/>
      <c r="O304" s="38" t="n"/>
      <c r="P304" s="38" t="n">
        <v>2500</v>
      </c>
      <c r="Q304" s="38" t="n">
        <v>0</v>
      </c>
      <c r="R304" s="40">
        <f>IF(J304="","",TODAY()-DATE(LEFT(J304,4)*1,MID(J304,6,2)*1,RIGHT(J304,2)*1))</f>
        <v/>
      </c>
    </row>
    <row r="305" ht="18" customHeight="1" s="31">
      <c r="A305" s="34" t="n">
        <v>303</v>
      </c>
      <c r="B305" s="34" t="inlineStr">
        <is>
          <t>Hannah</t>
        </is>
      </c>
      <c r="C305" s="34" t="inlineStr">
        <is>
          <t>Lind</t>
        </is>
      </c>
      <c r="D305" s="34" t="inlineStr">
        <is>
          <t>University of Alabama</t>
        </is>
      </c>
      <c r="E305" s="34" t="inlineStr">
        <is>
          <t>Psychology</t>
        </is>
      </c>
      <c r="F305" s="35" t="inlineStr">
        <is>
          <t>High</t>
        </is>
      </c>
      <c r="G305" s="35" t="inlineStr">
        <is>
          <t>High</t>
        </is>
      </c>
      <c r="H305" s="34" t="inlineStr">
        <is>
          <t>hlind@crimson.ua.edu</t>
        </is>
      </c>
      <c r="I305" s="34" t="inlineStr">
        <is>
          <t>2026-04-02</t>
        </is>
      </c>
      <c r="J305" s="34" t="n"/>
      <c r="K305" s="34" t="inlineStr">
        <is>
          <t>NO</t>
        </is>
      </c>
      <c r="L305" s="36" t="inlineStr">
        <is>
          <t>New Lead</t>
        </is>
      </c>
      <c r="M305" s="34" t="n"/>
      <c r="N305" s="34" t="n"/>
      <c r="O305" s="34" t="n"/>
      <c r="P305" s="34" t="n">
        <v>2500</v>
      </c>
      <c r="Q305" s="34" t="n">
        <v>0</v>
      </c>
      <c r="R305" s="37">
        <f>IF(J305="","",TODAY()-DATE(LEFT(J305,4)*1,MID(J305,6,2)*1,RIGHT(J305,2)*1))</f>
        <v/>
      </c>
    </row>
    <row r="306" ht="18" customHeight="1" s="31">
      <c r="A306" s="38" t="n">
        <v>304</v>
      </c>
      <c r="B306" s="38" t="inlineStr">
        <is>
          <t>Valerie</t>
        </is>
      </c>
      <c r="C306" s="38" t="inlineStr">
        <is>
          <t>Luskey</t>
        </is>
      </c>
      <c r="D306" s="38" t="inlineStr">
        <is>
          <t>University of Alabama</t>
        </is>
      </c>
      <c r="E306" s="38" t="inlineStr">
        <is>
          <t>Psychology</t>
        </is>
      </c>
      <c r="F306" s="35" t="inlineStr">
        <is>
          <t>High</t>
        </is>
      </c>
      <c r="G306" s="35" t="inlineStr">
        <is>
          <t>High</t>
        </is>
      </c>
      <c r="H306" s="38" t="inlineStr">
        <is>
          <t>veluskey@crimson.ua.edu</t>
        </is>
      </c>
      <c r="I306" s="38" t="inlineStr">
        <is>
          <t>2026-04-02</t>
        </is>
      </c>
      <c r="J306" s="38" t="n"/>
      <c r="K306" s="38" t="inlineStr">
        <is>
          <t>NO</t>
        </is>
      </c>
      <c r="L306" s="39" t="inlineStr">
        <is>
          <t>New Lead</t>
        </is>
      </c>
      <c r="M306" s="38" t="n"/>
      <c r="N306" s="38" t="n"/>
      <c r="O306" s="38" t="n"/>
      <c r="P306" s="38" t="n">
        <v>2500</v>
      </c>
      <c r="Q306" s="38" t="n">
        <v>0</v>
      </c>
      <c r="R306" s="40">
        <f>IF(J306="","",TODAY()-DATE(LEFT(J306,4)*1,MID(J306,6,2)*1,RIGHT(J306,2)*1))</f>
        <v/>
      </c>
    </row>
    <row r="307" ht="18" customHeight="1" s="31">
      <c r="A307" s="34" t="n">
        <v>305</v>
      </c>
      <c r="B307" s="34" t="inlineStr">
        <is>
          <t>Timothy</t>
        </is>
      </c>
      <c r="C307" s="34" t="inlineStr">
        <is>
          <t>Ly</t>
        </is>
      </c>
      <c r="D307" s="34" t="inlineStr">
        <is>
          <t>University of Alabama</t>
        </is>
      </c>
      <c r="E307" s="34" t="inlineStr">
        <is>
          <t>Psychology</t>
        </is>
      </c>
      <c r="F307" s="35" t="inlineStr">
        <is>
          <t>High</t>
        </is>
      </c>
      <c r="G307" s="35" t="inlineStr">
        <is>
          <t>High</t>
        </is>
      </c>
      <c r="H307" s="34" t="inlineStr">
        <is>
          <t>tkly@crimson.ua.edu</t>
        </is>
      </c>
      <c r="I307" s="34" t="inlineStr">
        <is>
          <t>2026-04-02</t>
        </is>
      </c>
      <c r="J307" s="34" t="n"/>
      <c r="K307" s="34" t="inlineStr">
        <is>
          <t>NO</t>
        </is>
      </c>
      <c r="L307" s="36" t="inlineStr">
        <is>
          <t>New Lead</t>
        </is>
      </c>
      <c r="M307" s="34" t="n"/>
      <c r="N307" s="34" t="n"/>
      <c r="O307" s="34" t="n"/>
      <c r="P307" s="34" t="n">
        <v>2500</v>
      </c>
      <c r="Q307" s="34" t="n">
        <v>0</v>
      </c>
      <c r="R307" s="37">
        <f>IF(J307="","",TODAY()-DATE(LEFT(J307,4)*1,MID(J307,6,2)*1,RIGHT(J307,2)*1))</f>
        <v/>
      </c>
    </row>
    <row r="308" ht="18" customHeight="1" s="31">
      <c r="A308" s="38" t="n">
        <v>306</v>
      </c>
      <c r="B308" s="38" t="inlineStr">
        <is>
          <t>Danny</t>
        </is>
      </c>
      <c r="C308" s="38" t="inlineStr">
        <is>
          <t>Mack</t>
        </is>
      </c>
      <c r="D308" s="38" t="inlineStr">
        <is>
          <t>University of Alabama</t>
        </is>
      </c>
      <c r="E308" s="38" t="inlineStr">
        <is>
          <t>Psychology</t>
        </is>
      </c>
      <c r="F308" s="35" t="inlineStr">
        <is>
          <t>High</t>
        </is>
      </c>
      <c r="G308" s="35" t="inlineStr">
        <is>
          <t>High</t>
        </is>
      </c>
      <c r="H308" s="38" t="inlineStr">
        <is>
          <t>drmack@crimson.ua.edu</t>
        </is>
      </c>
      <c r="I308" s="38" t="inlineStr">
        <is>
          <t>2026-04-02</t>
        </is>
      </c>
      <c r="J308" s="38" t="n"/>
      <c r="K308" s="38" t="inlineStr">
        <is>
          <t>NO</t>
        </is>
      </c>
      <c r="L308" s="39" t="inlineStr">
        <is>
          <t>New Lead</t>
        </is>
      </c>
      <c r="M308" s="38" t="n"/>
      <c r="N308" s="38" t="n"/>
      <c r="O308" s="38" t="n"/>
      <c r="P308" s="38" t="n">
        <v>2500</v>
      </c>
      <c r="Q308" s="38" t="n">
        <v>0</v>
      </c>
      <c r="R308" s="40">
        <f>IF(J308="","",TODAY()-DATE(LEFT(J308,4)*1,MID(J308,6,2)*1,RIGHT(J308,2)*1))</f>
        <v/>
      </c>
    </row>
    <row r="309" ht="18" customHeight="1" s="31">
      <c r="A309" s="34" t="n">
        <v>307</v>
      </c>
      <c r="B309" s="34" t="inlineStr">
        <is>
          <t>Ramya</t>
        </is>
      </c>
      <c r="C309" s="34" t="inlineStr">
        <is>
          <t>Manikkan</t>
        </is>
      </c>
      <c r="D309" s="34" t="inlineStr">
        <is>
          <t>University of Alabama</t>
        </is>
      </c>
      <c r="E309" s="34" t="inlineStr">
        <is>
          <t>Psychology</t>
        </is>
      </c>
      <c r="F309" s="35" t="inlineStr">
        <is>
          <t>High</t>
        </is>
      </c>
      <c r="G309" s="35" t="inlineStr">
        <is>
          <t>High</t>
        </is>
      </c>
      <c r="H309" s="34" t="inlineStr">
        <is>
          <t>rmanikkan@crimson.ua.edu</t>
        </is>
      </c>
      <c r="I309" s="34" t="inlineStr">
        <is>
          <t>2026-04-02</t>
        </is>
      </c>
      <c r="J309" s="34" t="n"/>
      <c r="K309" s="34" t="inlineStr">
        <is>
          <t>NO</t>
        </is>
      </c>
      <c r="L309" s="36" t="inlineStr">
        <is>
          <t>New Lead</t>
        </is>
      </c>
      <c r="M309" s="34" t="n"/>
      <c r="N309" s="34" t="n"/>
      <c r="O309" s="34" t="n"/>
      <c r="P309" s="34" t="n">
        <v>2500</v>
      </c>
      <c r="Q309" s="34" t="n">
        <v>0</v>
      </c>
      <c r="R309" s="37">
        <f>IF(J309="","",TODAY()-DATE(LEFT(J309,4)*1,MID(J309,6,2)*1,RIGHT(J309,2)*1))</f>
        <v/>
      </c>
    </row>
    <row r="310" ht="18" customHeight="1" s="31">
      <c r="A310" s="38" t="n">
        <v>308</v>
      </c>
      <c r="B310" s="38" t="inlineStr">
        <is>
          <t>Francisco</t>
        </is>
      </c>
      <c r="C310" s="38" t="inlineStr">
        <is>
          <t>Marquez</t>
        </is>
      </c>
      <c r="D310" s="38" t="inlineStr">
        <is>
          <t>University of Alabama</t>
        </is>
      </c>
      <c r="E310" s="38" t="inlineStr">
        <is>
          <t>Psychology</t>
        </is>
      </c>
      <c r="F310" s="35" t="inlineStr">
        <is>
          <t>High</t>
        </is>
      </c>
      <c r="G310" s="35" t="inlineStr">
        <is>
          <t>High</t>
        </is>
      </c>
      <c r="H310" s="38" t="inlineStr">
        <is>
          <t>fdmarquez@crimson.ua.edu</t>
        </is>
      </c>
      <c r="I310" s="38" t="inlineStr">
        <is>
          <t>2026-04-02</t>
        </is>
      </c>
      <c r="J310" s="38" t="n"/>
      <c r="K310" s="38" t="inlineStr">
        <is>
          <t>NO</t>
        </is>
      </c>
      <c r="L310" s="39" t="inlineStr">
        <is>
          <t>New Lead</t>
        </is>
      </c>
      <c r="M310" s="38" t="n"/>
      <c r="N310" s="38" t="n"/>
      <c r="O310" s="38" t="n"/>
      <c r="P310" s="38" t="n">
        <v>2500</v>
      </c>
      <c r="Q310" s="38" t="n">
        <v>0</v>
      </c>
      <c r="R310" s="40">
        <f>IF(J310="","",TODAY()-DATE(LEFT(J310,4)*1,MID(J310,6,2)*1,RIGHT(J310,2)*1))</f>
        <v/>
      </c>
    </row>
    <row r="311" ht="18" customHeight="1" s="31">
      <c r="A311" s="34" t="n">
        <v>309</v>
      </c>
      <c r="B311" s="34" t="inlineStr">
        <is>
          <t>Megan</t>
        </is>
      </c>
      <c r="C311" s="34" t="inlineStr">
        <is>
          <t>Matsko</t>
        </is>
      </c>
      <c r="D311" s="34" t="inlineStr">
        <is>
          <t>University of Alabama</t>
        </is>
      </c>
      <c r="E311" s="34" t="inlineStr">
        <is>
          <t>Psychology</t>
        </is>
      </c>
      <c r="F311" s="35" t="inlineStr">
        <is>
          <t>High</t>
        </is>
      </c>
      <c r="G311" s="35" t="inlineStr">
        <is>
          <t>High</t>
        </is>
      </c>
      <c r="H311" s="34" t="inlineStr">
        <is>
          <t>mematsko@crimson.ua.edu</t>
        </is>
      </c>
      <c r="I311" s="34" t="inlineStr">
        <is>
          <t>2026-04-02</t>
        </is>
      </c>
      <c r="J311" s="34" t="n"/>
      <c r="K311" s="34" t="inlineStr">
        <is>
          <t>NO</t>
        </is>
      </c>
      <c r="L311" s="36" t="inlineStr">
        <is>
          <t>New Lead</t>
        </is>
      </c>
      <c r="M311" s="34" t="n"/>
      <c r="N311" s="34" t="n"/>
      <c r="O311" s="34" t="n"/>
      <c r="P311" s="34" t="n">
        <v>2500</v>
      </c>
      <c r="Q311" s="34" t="n">
        <v>0</v>
      </c>
      <c r="R311" s="37">
        <f>IF(J311="","",TODAY()-DATE(LEFT(J311,4)*1,MID(J311,6,2)*1,RIGHT(J311,2)*1))</f>
        <v/>
      </c>
    </row>
    <row r="312" ht="18" customHeight="1" s="31">
      <c r="A312" s="38" t="n">
        <v>310</v>
      </c>
      <c r="B312" s="38" t="inlineStr">
        <is>
          <t>Kyndal</t>
        </is>
      </c>
      <c r="C312" s="38" t="inlineStr">
        <is>
          <t>Mays</t>
        </is>
      </c>
      <c r="D312" s="38" t="inlineStr">
        <is>
          <t>University of Alabama</t>
        </is>
      </c>
      <c r="E312" s="38" t="inlineStr">
        <is>
          <t>Psychology</t>
        </is>
      </c>
      <c r="F312" s="35" t="inlineStr">
        <is>
          <t>High</t>
        </is>
      </c>
      <c r="G312" s="35" t="inlineStr">
        <is>
          <t>High</t>
        </is>
      </c>
      <c r="H312" s="38" t="inlineStr">
        <is>
          <t>kgmays@crimson.ua.edu</t>
        </is>
      </c>
      <c r="I312" s="38" t="inlineStr">
        <is>
          <t>2026-04-02</t>
        </is>
      </c>
      <c r="J312" s="38" t="n"/>
      <c r="K312" s="38" t="inlineStr">
        <is>
          <t>NO</t>
        </is>
      </c>
      <c r="L312" s="39" t="inlineStr">
        <is>
          <t>New Lead</t>
        </is>
      </c>
      <c r="M312" s="38" t="n"/>
      <c r="N312" s="38" t="n"/>
      <c r="O312" s="38" t="n"/>
      <c r="P312" s="38" t="n">
        <v>2500</v>
      </c>
      <c r="Q312" s="38" t="n">
        <v>0</v>
      </c>
      <c r="R312" s="40">
        <f>IF(J312="","",TODAY()-DATE(LEFT(J312,4)*1,MID(J312,6,2)*1,RIGHT(J312,2)*1))</f>
        <v/>
      </c>
    </row>
    <row r="313" ht="18" customHeight="1" s="31">
      <c r="A313" s="34" t="n">
        <v>311</v>
      </c>
      <c r="B313" s="34" t="inlineStr">
        <is>
          <t>Lauren</t>
        </is>
      </c>
      <c r="C313" s="34" t="inlineStr">
        <is>
          <t>McDowell</t>
        </is>
      </c>
      <c r="D313" s="34" t="inlineStr">
        <is>
          <t>University of Alabama</t>
        </is>
      </c>
      <c r="E313" s="34" t="inlineStr">
        <is>
          <t>Psychology</t>
        </is>
      </c>
      <c r="F313" s="35" t="inlineStr">
        <is>
          <t>High</t>
        </is>
      </c>
      <c r="G313" s="35" t="inlineStr">
        <is>
          <t>High</t>
        </is>
      </c>
      <c r="H313" s="34" t="inlineStr">
        <is>
          <t>lamcdowell2@crimson.ua.edu</t>
        </is>
      </c>
      <c r="I313" s="34" t="inlineStr">
        <is>
          <t>2026-04-02</t>
        </is>
      </c>
      <c r="J313" s="34" t="n"/>
      <c r="K313" s="34" t="inlineStr">
        <is>
          <t>NO</t>
        </is>
      </c>
      <c r="L313" s="36" t="inlineStr">
        <is>
          <t>New Lead</t>
        </is>
      </c>
      <c r="M313" s="34" t="n"/>
      <c r="N313" s="34" t="n"/>
      <c r="O313" s="34" t="n"/>
      <c r="P313" s="34" t="n">
        <v>2500</v>
      </c>
      <c r="Q313" s="34" t="n">
        <v>0</v>
      </c>
      <c r="R313" s="37">
        <f>IF(J313="","",TODAY()-DATE(LEFT(J313,4)*1,MID(J313,6,2)*1,RIGHT(J313,2)*1))</f>
        <v/>
      </c>
    </row>
    <row r="314" ht="18" customHeight="1" s="31">
      <c r="A314" s="38" t="n">
        <v>312</v>
      </c>
      <c r="B314" s="38" t="inlineStr">
        <is>
          <t>Malerie</t>
        </is>
      </c>
      <c r="C314" s="38" t="inlineStr">
        <is>
          <t>McDowell</t>
        </is>
      </c>
      <c r="D314" s="38" t="inlineStr">
        <is>
          <t>University of Alabama</t>
        </is>
      </c>
      <c r="E314" s="38" t="inlineStr">
        <is>
          <t>Psychology</t>
        </is>
      </c>
      <c r="F314" s="35" t="inlineStr">
        <is>
          <t>High</t>
        </is>
      </c>
      <c r="G314" s="35" t="inlineStr">
        <is>
          <t>High</t>
        </is>
      </c>
      <c r="H314" s="38" t="inlineStr">
        <is>
          <t>mmcdowell6@crimson.ua.edu</t>
        </is>
      </c>
      <c r="I314" s="38" t="inlineStr">
        <is>
          <t>2026-04-02</t>
        </is>
      </c>
      <c r="J314" s="38" t="n"/>
      <c r="K314" s="38" t="inlineStr">
        <is>
          <t>NO</t>
        </is>
      </c>
      <c r="L314" s="39" t="inlineStr">
        <is>
          <t>New Lead</t>
        </is>
      </c>
      <c r="M314" s="38" t="n"/>
      <c r="N314" s="38" t="n"/>
      <c r="O314" s="38" t="n"/>
      <c r="P314" s="38" t="n">
        <v>2500</v>
      </c>
      <c r="Q314" s="38" t="n">
        <v>0</v>
      </c>
      <c r="R314" s="40">
        <f>IF(J314="","",TODAY()-DATE(LEFT(J314,4)*1,MID(J314,6,2)*1,RIGHT(J314,2)*1))</f>
        <v/>
      </c>
    </row>
    <row r="315" ht="18" customHeight="1" s="31">
      <c r="A315" s="34" t="n">
        <v>313</v>
      </c>
      <c r="B315" s="34" t="inlineStr">
        <is>
          <t>Alissa</t>
        </is>
      </c>
      <c r="C315" s="34" t="inlineStr">
        <is>
          <t>McIntyre</t>
        </is>
      </c>
      <c r="D315" s="34" t="inlineStr">
        <is>
          <t>University of Alabama</t>
        </is>
      </c>
      <c r="E315" s="34" t="inlineStr">
        <is>
          <t>Psychology</t>
        </is>
      </c>
      <c r="F315" s="35" t="inlineStr">
        <is>
          <t>High</t>
        </is>
      </c>
      <c r="G315" s="35" t="inlineStr">
        <is>
          <t>High</t>
        </is>
      </c>
      <c r="H315" s="34" t="inlineStr">
        <is>
          <t>acmcintyre@crimson.ua.edu</t>
        </is>
      </c>
      <c r="I315" s="34" t="inlineStr">
        <is>
          <t>2026-04-02</t>
        </is>
      </c>
      <c r="J315" s="34" t="n"/>
      <c r="K315" s="34" t="inlineStr">
        <is>
          <t>NO</t>
        </is>
      </c>
      <c r="L315" s="36" t="inlineStr">
        <is>
          <t>New Lead</t>
        </is>
      </c>
      <c r="M315" s="34" t="n"/>
      <c r="N315" s="34" t="n"/>
      <c r="O315" s="34" t="n"/>
      <c r="P315" s="34" t="n">
        <v>2500</v>
      </c>
      <c r="Q315" s="34" t="n">
        <v>0</v>
      </c>
      <c r="R315" s="37">
        <f>IF(J315="","",TODAY()-DATE(LEFT(J315,4)*1,MID(J315,6,2)*1,RIGHT(J315,2)*1))</f>
        <v/>
      </c>
    </row>
    <row r="316" ht="18" customHeight="1" s="31">
      <c r="A316" s="38" t="n">
        <v>314</v>
      </c>
      <c r="B316" s="38" t="inlineStr">
        <is>
          <t>John</t>
        </is>
      </c>
      <c r="C316" s="38" t="inlineStr">
        <is>
          <t>Meyer</t>
        </is>
      </c>
      <c r="D316" s="38" t="inlineStr">
        <is>
          <t>University of Alabama</t>
        </is>
      </c>
      <c r="E316" s="38" t="inlineStr">
        <is>
          <t>Psychology</t>
        </is>
      </c>
      <c r="F316" s="35" t="inlineStr">
        <is>
          <t>High</t>
        </is>
      </c>
      <c r="G316" s="35" t="inlineStr">
        <is>
          <t>High</t>
        </is>
      </c>
      <c r="H316" s="38" t="inlineStr">
        <is>
          <t>jpmeyer3@crimson.ua.edu</t>
        </is>
      </c>
      <c r="I316" s="38" t="inlineStr">
        <is>
          <t>2026-04-02</t>
        </is>
      </c>
      <c r="J316" s="38" t="n"/>
      <c r="K316" s="38" t="inlineStr">
        <is>
          <t>NO</t>
        </is>
      </c>
      <c r="L316" s="39" t="inlineStr">
        <is>
          <t>New Lead</t>
        </is>
      </c>
      <c r="M316" s="38" t="n"/>
      <c r="N316" s="38" t="n"/>
      <c r="O316" s="38" t="n"/>
      <c r="P316" s="38" t="n">
        <v>2500</v>
      </c>
      <c r="Q316" s="38" t="n">
        <v>0</v>
      </c>
      <c r="R316" s="40">
        <f>IF(J316="","",TODAY()-DATE(LEFT(J316,4)*1,MID(J316,6,2)*1,RIGHT(J316,2)*1))</f>
        <v/>
      </c>
    </row>
    <row r="317" ht="18" customHeight="1" s="31">
      <c r="A317" s="34" t="n">
        <v>315</v>
      </c>
      <c r="B317" s="34" t="inlineStr">
        <is>
          <t>Taylor</t>
        </is>
      </c>
      <c r="C317" s="34" t="inlineStr">
        <is>
          <t>Mosley</t>
        </is>
      </c>
      <c r="D317" s="34" t="inlineStr">
        <is>
          <t>University of Alabama</t>
        </is>
      </c>
      <c r="E317" s="34" t="inlineStr">
        <is>
          <t>Psychology</t>
        </is>
      </c>
      <c r="F317" s="35" t="inlineStr">
        <is>
          <t>High</t>
        </is>
      </c>
      <c r="G317" s="35" t="inlineStr">
        <is>
          <t>High</t>
        </is>
      </c>
      <c r="H317" s="34" t="inlineStr">
        <is>
          <t>tkmosley1@crimson.ua.edu</t>
        </is>
      </c>
      <c r="I317" s="34" t="inlineStr">
        <is>
          <t>2026-04-02</t>
        </is>
      </c>
      <c r="J317" s="34" t="n"/>
      <c r="K317" s="34" t="inlineStr">
        <is>
          <t>NO</t>
        </is>
      </c>
      <c r="L317" s="36" t="inlineStr">
        <is>
          <t>New Lead</t>
        </is>
      </c>
      <c r="M317" s="34" t="n"/>
      <c r="N317" s="34" t="n"/>
      <c r="O317" s="34" t="n"/>
      <c r="P317" s="34" t="n">
        <v>2500</v>
      </c>
      <c r="Q317" s="34" t="n">
        <v>0</v>
      </c>
      <c r="R317" s="37">
        <f>IF(J317="","",TODAY()-DATE(LEFT(J317,4)*1,MID(J317,6,2)*1,RIGHT(J317,2)*1))</f>
        <v/>
      </c>
    </row>
    <row r="318" ht="18" customHeight="1" s="31">
      <c r="A318" s="38" t="n">
        <v>316</v>
      </c>
      <c r="B318" s="38" t="inlineStr">
        <is>
          <t>Kiara</t>
        </is>
      </c>
      <c r="C318" s="38" t="inlineStr">
        <is>
          <t>Mosley</t>
        </is>
      </c>
      <c r="D318" s="38" t="inlineStr">
        <is>
          <t>University of Alabama</t>
        </is>
      </c>
      <c r="E318" s="38" t="inlineStr">
        <is>
          <t>Psychology</t>
        </is>
      </c>
      <c r="F318" s="35" t="inlineStr">
        <is>
          <t>High</t>
        </is>
      </c>
      <c r="G318" s="35" t="inlineStr">
        <is>
          <t>High</t>
        </is>
      </c>
      <c r="H318" s="38" t="inlineStr">
        <is>
          <t>knmosley@crimson.ua.edu</t>
        </is>
      </c>
      <c r="I318" s="38" t="inlineStr">
        <is>
          <t>2026-04-02</t>
        </is>
      </c>
      <c r="J318" s="38" t="n"/>
      <c r="K318" s="38" t="inlineStr">
        <is>
          <t>NO</t>
        </is>
      </c>
      <c r="L318" s="39" t="inlineStr">
        <is>
          <t>New Lead</t>
        </is>
      </c>
      <c r="M318" s="38" t="n"/>
      <c r="N318" s="38" t="n"/>
      <c r="O318" s="38" t="n"/>
      <c r="P318" s="38" t="n">
        <v>2500</v>
      </c>
      <c r="Q318" s="38" t="n">
        <v>0</v>
      </c>
      <c r="R318" s="40">
        <f>IF(J318="","",TODAY()-DATE(LEFT(J318,4)*1,MID(J318,6,2)*1,RIGHT(J318,2)*1))</f>
        <v/>
      </c>
    </row>
    <row r="319" ht="18" customHeight="1" s="31">
      <c r="A319" s="34" t="n">
        <v>317</v>
      </c>
      <c r="B319" s="34" t="inlineStr">
        <is>
          <t>Asiye</t>
        </is>
      </c>
      <c r="C319" s="34" t="inlineStr">
        <is>
          <t>Mucedidi</t>
        </is>
      </c>
      <c r="D319" s="34" t="inlineStr">
        <is>
          <t>University of Alabama</t>
        </is>
      </c>
      <c r="E319" s="34" t="inlineStr">
        <is>
          <t>Psychology</t>
        </is>
      </c>
      <c r="F319" s="35" t="inlineStr">
        <is>
          <t>High</t>
        </is>
      </c>
      <c r="G319" s="35" t="inlineStr">
        <is>
          <t>High</t>
        </is>
      </c>
      <c r="H319" s="34" t="inlineStr">
        <is>
          <t>amucedidi@crimson.ua.edu</t>
        </is>
      </c>
      <c r="I319" s="34" t="inlineStr">
        <is>
          <t>2026-04-02</t>
        </is>
      </c>
      <c r="J319" s="34" t="n"/>
      <c r="K319" s="34" t="inlineStr">
        <is>
          <t>NO</t>
        </is>
      </c>
      <c r="L319" s="36" t="inlineStr">
        <is>
          <t>New Lead</t>
        </is>
      </c>
      <c r="M319" s="34" t="n"/>
      <c r="N319" s="34" t="n"/>
      <c r="O319" s="34" t="n"/>
      <c r="P319" s="34" t="n">
        <v>2500</v>
      </c>
      <c r="Q319" s="34" t="n">
        <v>0</v>
      </c>
      <c r="R319" s="37">
        <f>IF(J319="","",TODAY()-DATE(LEFT(J319,4)*1,MID(J319,6,2)*1,RIGHT(J319,2)*1))</f>
        <v/>
      </c>
    </row>
    <row r="320" ht="18" customHeight="1" s="31">
      <c r="A320" s="38" t="n">
        <v>318</v>
      </c>
      <c r="B320" s="38" t="inlineStr">
        <is>
          <t>Kaleigh</t>
        </is>
      </c>
      <c r="C320" s="38" t="inlineStr">
        <is>
          <t>Nance</t>
        </is>
      </c>
      <c r="D320" s="38" t="inlineStr">
        <is>
          <t>University of Alabama</t>
        </is>
      </c>
      <c r="E320" s="38" t="inlineStr">
        <is>
          <t>Psychology</t>
        </is>
      </c>
      <c r="F320" s="35" t="inlineStr">
        <is>
          <t>High</t>
        </is>
      </c>
      <c r="G320" s="35" t="inlineStr">
        <is>
          <t>High</t>
        </is>
      </c>
      <c r="H320" s="38" t="inlineStr">
        <is>
          <t>knance@crimson.ua.edu</t>
        </is>
      </c>
      <c r="I320" s="38" t="inlineStr">
        <is>
          <t>2026-04-02</t>
        </is>
      </c>
      <c r="J320" s="38" t="n"/>
      <c r="K320" s="38" t="inlineStr">
        <is>
          <t>NO</t>
        </is>
      </c>
      <c r="L320" s="39" t="inlineStr">
        <is>
          <t>New Lead</t>
        </is>
      </c>
      <c r="M320" s="38" t="n"/>
      <c r="N320" s="38" t="n"/>
      <c r="O320" s="38" t="n"/>
      <c r="P320" s="38" t="n">
        <v>2500</v>
      </c>
      <c r="Q320" s="38" t="n">
        <v>0</v>
      </c>
      <c r="R320" s="40">
        <f>IF(J320="","",TODAY()-DATE(LEFT(J320,4)*1,MID(J320,6,2)*1,RIGHT(J320,2)*1))</f>
        <v/>
      </c>
    </row>
    <row r="321" ht="18" customHeight="1" s="31">
      <c r="A321" s="34" t="n">
        <v>319</v>
      </c>
      <c r="B321" s="34" t="inlineStr">
        <is>
          <t>Tasnim</t>
        </is>
      </c>
      <c r="C321" s="34" t="inlineStr">
        <is>
          <t>Nira</t>
        </is>
      </c>
      <c r="D321" s="34" t="inlineStr">
        <is>
          <t>University of Alabama</t>
        </is>
      </c>
      <c r="E321" s="34" t="inlineStr">
        <is>
          <t>Psychology</t>
        </is>
      </c>
      <c r="F321" s="35" t="inlineStr">
        <is>
          <t>High</t>
        </is>
      </c>
      <c r="G321" s="35" t="inlineStr">
        <is>
          <t>High</t>
        </is>
      </c>
      <c r="H321" s="34" t="inlineStr">
        <is>
          <t>trahman11@crimson.ua.edu</t>
        </is>
      </c>
      <c r="I321" s="34" t="inlineStr">
        <is>
          <t>2026-04-02</t>
        </is>
      </c>
      <c r="J321" s="34" t="n"/>
      <c r="K321" s="34" t="inlineStr">
        <is>
          <t>NO</t>
        </is>
      </c>
      <c r="L321" s="36" t="inlineStr">
        <is>
          <t>New Lead</t>
        </is>
      </c>
      <c r="M321" s="34" t="n"/>
      <c r="N321" s="34" t="n"/>
      <c r="O321" s="34" t="n"/>
      <c r="P321" s="34" t="n">
        <v>2500</v>
      </c>
      <c r="Q321" s="34" t="n">
        <v>0</v>
      </c>
      <c r="R321" s="37">
        <f>IF(J321="","",TODAY()-DATE(LEFT(J321,4)*1,MID(J321,6,2)*1,RIGHT(J321,2)*1))</f>
        <v/>
      </c>
    </row>
    <row r="322" ht="18" customHeight="1" s="31">
      <c r="A322" s="38" t="n">
        <v>320</v>
      </c>
      <c r="B322" s="38" t="inlineStr">
        <is>
          <t>Korina</t>
        </is>
      </c>
      <c r="C322" s="38" t="inlineStr">
        <is>
          <t>Odom</t>
        </is>
      </c>
      <c r="D322" s="38" t="inlineStr">
        <is>
          <t>University of Alabama</t>
        </is>
      </c>
      <c r="E322" s="38" t="inlineStr">
        <is>
          <t>Psychology</t>
        </is>
      </c>
      <c r="F322" s="35" t="inlineStr">
        <is>
          <t>High</t>
        </is>
      </c>
      <c r="G322" s="35" t="inlineStr">
        <is>
          <t>High</t>
        </is>
      </c>
      <c r="H322" s="38" t="inlineStr">
        <is>
          <t>krodom2@crimson.ua.edu</t>
        </is>
      </c>
      <c r="I322" s="38" t="inlineStr">
        <is>
          <t>2026-04-02</t>
        </is>
      </c>
      <c r="J322" s="38" t="n"/>
      <c r="K322" s="38" t="inlineStr">
        <is>
          <t>NO</t>
        </is>
      </c>
      <c r="L322" s="39" t="inlineStr">
        <is>
          <t>New Lead</t>
        </is>
      </c>
      <c r="M322" s="38" t="n"/>
      <c r="N322" s="38" t="n"/>
      <c r="O322" s="38" t="n"/>
      <c r="P322" s="38" t="n">
        <v>2500</v>
      </c>
      <c r="Q322" s="38" t="n">
        <v>0</v>
      </c>
      <c r="R322" s="40">
        <f>IF(J322="","",TODAY()-DATE(LEFT(J322,4)*1,MID(J322,6,2)*1,RIGHT(J322,2)*1))</f>
        <v/>
      </c>
    </row>
    <row r="323" ht="18" customHeight="1" s="31">
      <c r="A323" s="34" t="n">
        <v>321</v>
      </c>
      <c r="B323" s="34" t="inlineStr">
        <is>
          <t>Polina</t>
        </is>
      </c>
      <c r="C323" s="34" t="inlineStr">
        <is>
          <t>Perelstein</t>
        </is>
      </c>
      <c r="D323" s="34" t="inlineStr">
        <is>
          <t>University of Alabama</t>
        </is>
      </c>
      <c r="E323" s="34" t="inlineStr">
        <is>
          <t>Psychology</t>
        </is>
      </c>
      <c r="F323" s="35" t="inlineStr">
        <is>
          <t>High</t>
        </is>
      </c>
      <c r="G323" s="35" t="inlineStr">
        <is>
          <t>High</t>
        </is>
      </c>
      <c r="H323" s="34" t="inlineStr">
        <is>
          <t>pperelstein@crimson.ua.edu</t>
        </is>
      </c>
      <c r="I323" s="34" t="inlineStr">
        <is>
          <t>2026-04-02</t>
        </is>
      </c>
      <c r="J323" s="34" t="n"/>
      <c r="K323" s="34" t="inlineStr">
        <is>
          <t>NO</t>
        </is>
      </c>
      <c r="L323" s="36" t="inlineStr">
        <is>
          <t>New Lead</t>
        </is>
      </c>
      <c r="M323" s="34" t="n"/>
      <c r="N323" s="34" t="n"/>
      <c r="O323" s="34" t="n"/>
      <c r="P323" s="34" t="n">
        <v>2500</v>
      </c>
      <c r="Q323" s="34" t="n">
        <v>0</v>
      </c>
      <c r="R323" s="37">
        <f>IF(J323="","",TODAY()-DATE(LEFT(J323,4)*1,MID(J323,6,2)*1,RIGHT(J323,2)*1))</f>
        <v/>
      </c>
    </row>
    <row r="324" ht="18" customHeight="1" s="31">
      <c r="A324" s="38" t="n">
        <v>322</v>
      </c>
      <c r="B324" s="38" t="inlineStr">
        <is>
          <t>Amanda</t>
        </is>
      </c>
      <c r="C324" s="38" t="inlineStr">
        <is>
          <t>Piechota</t>
        </is>
      </c>
      <c r="D324" s="38" t="inlineStr">
        <is>
          <t>University of Alabama</t>
        </is>
      </c>
      <c r="E324" s="38" t="inlineStr">
        <is>
          <t>Psychology</t>
        </is>
      </c>
      <c r="F324" s="35" t="inlineStr">
        <is>
          <t>High</t>
        </is>
      </c>
      <c r="G324" s="35" t="inlineStr">
        <is>
          <t>High</t>
        </is>
      </c>
      <c r="H324" s="38" t="inlineStr">
        <is>
          <t>acpiechota@crimson.ua.edu</t>
        </is>
      </c>
      <c r="I324" s="38" t="inlineStr">
        <is>
          <t>2026-04-02</t>
        </is>
      </c>
      <c r="J324" s="38" t="n"/>
      <c r="K324" s="38" t="inlineStr">
        <is>
          <t>NO</t>
        </is>
      </c>
      <c r="L324" s="39" t="inlineStr">
        <is>
          <t>New Lead</t>
        </is>
      </c>
      <c r="M324" s="38" t="n"/>
      <c r="N324" s="38" t="n"/>
      <c r="O324" s="38" t="n"/>
      <c r="P324" s="38" t="n">
        <v>2500</v>
      </c>
      <c r="Q324" s="38" t="n">
        <v>0</v>
      </c>
      <c r="R324" s="40">
        <f>IF(J324="","",TODAY()-DATE(LEFT(J324,4)*1,MID(J324,6,2)*1,RIGHT(J324,2)*1))</f>
        <v/>
      </c>
    </row>
    <row r="325" ht="18" customHeight="1" s="31">
      <c r="A325" s="34" t="n">
        <v>323</v>
      </c>
      <c r="B325" s="34" t="inlineStr">
        <is>
          <t>Annie</t>
        </is>
      </c>
      <c r="C325" s="34" t="inlineStr">
        <is>
          <t>Reiner</t>
        </is>
      </c>
      <c r="D325" s="34" t="inlineStr">
        <is>
          <t>University of Alabama</t>
        </is>
      </c>
      <c r="E325" s="34" t="inlineStr">
        <is>
          <t>Psychology</t>
        </is>
      </c>
      <c r="F325" s="35" t="inlineStr">
        <is>
          <t>High</t>
        </is>
      </c>
      <c r="G325" s="35" t="inlineStr">
        <is>
          <t>High</t>
        </is>
      </c>
      <c r="H325" s="34" t="inlineStr">
        <is>
          <t>areiner@crimson.ua.edu</t>
        </is>
      </c>
      <c r="I325" s="34" t="inlineStr">
        <is>
          <t>2026-04-02</t>
        </is>
      </c>
      <c r="J325" s="34" t="n"/>
      <c r="K325" s="34" t="inlineStr">
        <is>
          <t>NO</t>
        </is>
      </c>
      <c r="L325" s="36" t="inlineStr">
        <is>
          <t>New Lead</t>
        </is>
      </c>
      <c r="M325" s="34" t="n"/>
      <c r="N325" s="34" t="n"/>
      <c r="O325" s="34" t="n"/>
      <c r="P325" s="34" t="n">
        <v>2500</v>
      </c>
      <c r="Q325" s="34" t="n">
        <v>0</v>
      </c>
      <c r="R325" s="37">
        <f>IF(J325="","",TODAY()-DATE(LEFT(J325,4)*1,MID(J325,6,2)*1,RIGHT(J325,2)*1))</f>
        <v/>
      </c>
    </row>
    <row r="326" ht="18" customHeight="1" s="31">
      <c r="A326" s="38" t="n">
        <v>324</v>
      </c>
      <c r="B326" s="38" t="inlineStr">
        <is>
          <t>Lauren</t>
        </is>
      </c>
      <c r="C326" s="38" t="inlineStr">
        <is>
          <t>Rivers</t>
        </is>
      </c>
      <c r="D326" s="38" t="inlineStr">
        <is>
          <t>University of Alabama</t>
        </is>
      </c>
      <c r="E326" s="38" t="inlineStr">
        <is>
          <t>Psychology</t>
        </is>
      </c>
      <c r="F326" s="35" t="inlineStr">
        <is>
          <t>High</t>
        </is>
      </c>
      <c r="G326" s="35" t="inlineStr">
        <is>
          <t>High</t>
        </is>
      </c>
      <c r="H326" s="38" t="inlineStr">
        <is>
          <t>lmrivers@crimson.ua.edu</t>
        </is>
      </c>
      <c r="I326" s="38" t="inlineStr">
        <is>
          <t>2026-04-02</t>
        </is>
      </c>
      <c r="J326" s="38" t="n"/>
      <c r="K326" s="38" t="inlineStr">
        <is>
          <t>NO</t>
        </is>
      </c>
      <c r="L326" s="39" t="inlineStr">
        <is>
          <t>New Lead</t>
        </is>
      </c>
      <c r="M326" s="38" t="n"/>
      <c r="N326" s="38" t="n"/>
      <c r="O326" s="38" t="n"/>
      <c r="P326" s="38" t="n">
        <v>2500</v>
      </c>
      <c r="Q326" s="38" t="n">
        <v>0</v>
      </c>
      <c r="R326" s="40">
        <f>IF(J326="","",TODAY()-DATE(LEFT(J326,4)*1,MID(J326,6,2)*1,RIGHT(J326,2)*1))</f>
        <v/>
      </c>
    </row>
    <row r="327" ht="18" customHeight="1" s="31">
      <c r="A327" s="34" t="n">
        <v>325</v>
      </c>
      <c r="B327" s="34" t="inlineStr">
        <is>
          <t>Bella</t>
        </is>
      </c>
      <c r="C327" s="34" t="inlineStr">
        <is>
          <t>Roberts</t>
        </is>
      </c>
      <c r="D327" s="34" t="inlineStr">
        <is>
          <t>University of Alabama</t>
        </is>
      </c>
      <c r="E327" s="34" t="inlineStr">
        <is>
          <t>Psychology</t>
        </is>
      </c>
      <c r="F327" s="35" t="inlineStr">
        <is>
          <t>High</t>
        </is>
      </c>
      <c r="G327" s="35" t="inlineStr">
        <is>
          <t>High</t>
        </is>
      </c>
      <c r="H327" s="34" t="inlineStr">
        <is>
          <t>bcroberts1@crimson.ua.edu</t>
        </is>
      </c>
      <c r="I327" s="34" t="inlineStr">
        <is>
          <t>2026-04-02</t>
        </is>
      </c>
      <c r="J327" s="34" t="n"/>
      <c r="K327" s="34" t="inlineStr">
        <is>
          <t>NO</t>
        </is>
      </c>
      <c r="L327" s="36" t="inlineStr">
        <is>
          <t>New Lead</t>
        </is>
      </c>
      <c r="M327" s="34" t="n"/>
      <c r="N327" s="34" t="n"/>
      <c r="O327" s="34" t="n"/>
      <c r="P327" s="34" t="n">
        <v>2500</v>
      </c>
      <c r="Q327" s="34" t="n">
        <v>0</v>
      </c>
      <c r="R327" s="37">
        <f>IF(J327="","",TODAY()-DATE(LEFT(J327,4)*1,MID(J327,6,2)*1,RIGHT(J327,2)*1))</f>
        <v/>
      </c>
    </row>
    <row r="328" ht="18" customHeight="1" s="31">
      <c r="A328" s="38" t="n">
        <v>326</v>
      </c>
      <c r="B328" s="38" t="inlineStr">
        <is>
          <t>William</t>
        </is>
      </c>
      <c r="C328" s="38" t="inlineStr">
        <is>
          <t>Russell</t>
        </is>
      </c>
      <c r="D328" s="38" t="inlineStr">
        <is>
          <t>University of Alabama</t>
        </is>
      </c>
      <c r="E328" s="38" t="inlineStr">
        <is>
          <t>Psychology</t>
        </is>
      </c>
      <c r="F328" s="35" t="inlineStr">
        <is>
          <t>High</t>
        </is>
      </c>
      <c r="G328" s="35" t="inlineStr">
        <is>
          <t>High</t>
        </is>
      </c>
      <c r="H328" s="38" t="inlineStr">
        <is>
          <t>wnrussell@crimson.ua.edu</t>
        </is>
      </c>
      <c r="I328" s="38" t="inlineStr">
        <is>
          <t>2026-04-02</t>
        </is>
      </c>
      <c r="J328" s="38" t="n"/>
      <c r="K328" s="38" t="inlineStr">
        <is>
          <t>NO</t>
        </is>
      </c>
      <c r="L328" s="39" t="inlineStr">
        <is>
          <t>New Lead</t>
        </is>
      </c>
      <c r="M328" s="38" t="n"/>
      <c r="N328" s="38" t="n"/>
      <c r="O328" s="38" t="n"/>
      <c r="P328" s="38" t="n">
        <v>2500</v>
      </c>
      <c r="Q328" s="38" t="n">
        <v>0</v>
      </c>
      <c r="R328" s="40">
        <f>IF(J328="","",TODAY()-DATE(LEFT(J328,4)*1,MID(J328,6,2)*1,RIGHT(J328,2)*1))</f>
        <v/>
      </c>
    </row>
    <row r="329" ht="18" customHeight="1" s="31">
      <c r="A329" s="34" t="n">
        <v>327</v>
      </c>
      <c r="B329" s="34" t="inlineStr">
        <is>
          <t>Jennifer</t>
        </is>
      </c>
      <c r="C329" s="34" t="inlineStr">
        <is>
          <t>Santos</t>
        </is>
      </c>
      <c r="D329" s="34" t="inlineStr">
        <is>
          <t>University of Alabama</t>
        </is>
      </c>
      <c r="E329" s="34" t="inlineStr">
        <is>
          <t>Psychology</t>
        </is>
      </c>
      <c r="F329" s="35" t="inlineStr">
        <is>
          <t>High</t>
        </is>
      </c>
      <c r="G329" s="35" t="inlineStr">
        <is>
          <t>High</t>
        </is>
      </c>
      <c r="H329" s="34" t="inlineStr">
        <is>
          <t>jrsantos@crimson.ua.edu</t>
        </is>
      </c>
      <c r="I329" s="34" t="inlineStr">
        <is>
          <t>2026-04-02</t>
        </is>
      </c>
      <c r="J329" s="34" t="n"/>
      <c r="K329" s="34" t="inlineStr">
        <is>
          <t>NO</t>
        </is>
      </c>
      <c r="L329" s="36" t="inlineStr">
        <is>
          <t>New Lead</t>
        </is>
      </c>
      <c r="M329" s="34" t="n"/>
      <c r="N329" s="34" t="n"/>
      <c r="O329" s="34" t="n"/>
      <c r="P329" s="34" t="n">
        <v>2500</v>
      </c>
      <c r="Q329" s="34" t="n">
        <v>0</v>
      </c>
      <c r="R329" s="37">
        <f>IF(J329="","",TODAY()-DATE(LEFT(J329,4)*1,MID(J329,6,2)*1,RIGHT(J329,2)*1))</f>
        <v/>
      </c>
    </row>
    <row r="330" ht="18" customHeight="1" s="31">
      <c r="A330" s="38" t="n">
        <v>328</v>
      </c>
      <c r="B330" s="38" t="inlineStr">
        <is>
          <t>Carson</t>
        </is>
      </c>
      <c r="C330" s="38" t="inlineStr">
        <is>
          <t>Schmitz</t>
        </is>
      </c>
      <c r="D330" s="38" t="inlineStr">
        <is>
          <t>University of Alabama</t>
        </is>
      </c>
      <c r="E330" s="38" t="inlineStr">
        <is>
          <t>Psychology</t>
        </is>
      </c>
      <c r="F330" s="35" t="inlineStr">
        <is>
          <t>High</t>
        </is>
      </c>
      <c r="G330" s="35" t="inlineStr">
        <is>
          <t>High</t>
        </is>
      </c>
      <c r="H330" s="38" t="inlineStr">
        <is>
          <t>crschmitz@crimson.ua.edu</t>
        </is>
      </c>
      <c r="I330" s="38" t="inlineStr">
        <is>
          <t>2026-04-02</t>
        </is>
      </c>
      <c r="J330" s="38" t="n"/>
      <c r="K330" s="38" t="inlineStr">
        <is>
          <t>NO</t>
        </is>
      </c>
      <c r="L330" s="39" t="inlineStr">
        <is>
          <t>New Lead</t>
        </is>
      </c>
      <c r="M330" s="38" t="n"/>
      <c r="N330" s="38" t="n"/>
      <c r="O330" s="38" t="n"/>
      <c r="P330" s="38" t="n">
        <v>2500</v>
      </c>
      <c r="Q330" s="38" t="n">
        <v>0</v>
      </c>
      <c r="R330" s="40">
        <f>IF(J330="","",TODAY()-DATE(LEFT(J330,4)*1,MID(J330,6,2)*1,RIGHT(J330,2)*1))</f>
        <v/>
      </c>
    </row>
    <row r="331" ht="18" customHeight="1" s="31">
      <c r="A331" s="34" t="n">
        <v>329</v>
      </c>
      <c r="B331" s="34" t="inlineStr">
        <is>
          <t>Zachary</t>
        </is>
      </c>
      <c r="C331" s="34" t="inlineStr">
        <is>
          <t>Schornick</t>
        </is>
      </c>
      <c r="D331" s="34" t="inlineStr">
        <is>
          <t>University of Alabama</t>
        </is>
      </c>
      <c r="E331" s="34" t="inlineStr">
        <is>
          <t>Psychology</t>
        </is>
      </c>
      <c r="F331" s="35" t="inlineStr">
        <is>
          <t>High</t>
        </is>
      </c>
      <c r="G331" s="35" t="inlineStr">
        <is>
          <t>High</t>
        </is>
      </c>
      <c r="H331" s="34" t="inlineStr">
        <is>
          <t>ztschornick@crimson.ua.edu</t>
        </is>
      </c>
      <c r="I331" s="34" t="inlineStr">
        <is>
          <t>2026-04-02</t>
        </is>
      </c>
      <c r="J331" s="34" t="n"/>
      <c r="K331" s="34" t="inlineStr">
        <is>
          <t>NO</t>
        </is>
      </c>
      <c r="L331" s="36" t="inlineStr">
        <is>
          <t>New Lead</t>
        </is>
      </c>
      <c r="M331" s="34" t="n"/>
      <c r="N331" s="34" t="n"/>
      <c r="O331" s="34" t="n"/>
      <c r="P331" s="34" t="n">
        <v>2500</v>
      </c>
      <c r="Q331" s="34" t="n">
        <v>0</v>
      </c>
      <c r="R331" s="37">
        <f>IF(J331="","",TODAY()-DATE(LEFT(J331,4)*1,MID(J331,6,2)*1,RIGHT(J331,2)*1))</f>
        <v/>
      </c>
    </row>
    <row r="332" ht="18" customHeight="1" s="31">
      <c r="A332" s="38" t="n">
        <v>330</v>
      </c>
      <c r="B332" s="38" t="inlineStr">
        <is>
          <t>Nasim</t>
        </is>
      </c>
      <c r="C332" s="38" t="inlineStr">
        <is>
          <t>Shahrokhian</t>
        </is>
      </c>
      <c r="D332" s="38" t="inlineStr">
        <is>
          <t>University of Alabama</t>
        </is>
      </c>
      <c r="E332" s="38" t="inlineStr">
        <is>
          <t>Psychology</t>
        </is>
      </c>
      <c r="F332" s="35" t="inlineStr">
        <is>
          <t>High</t>
        </is>
      </c>
      <c r="G332" s="35" t="inlineStr">
        <is>
          <t>High</t>
        </is>
      </c>
      <c r="H332" s="38" t="inlineStr">
        <is>
          <t>nshahrokhian@crimson.ua.edu</t>
        </is>
      </c>
      <c r="I332" s="38" t="inlineStr">
        <is>
          <t>2026-04-02</t>
        </is>
      </c>
      <c r="J332" s="38" t="n"/>
      <c r="K332" s="38" t="inlineStr">
        <is>
          <t>NO</t>
        </is>
      </c>
      <c r="L332" s="39" t="inlineStr">
        <is>
          <t>New Lead</t>
        </is>
      </c>
      <c r="M332" s="38" t="n"/>
      <c r="N332" s="38" t="n"/>
      <c r="O332" s="38" t="n"/>
      <c r="P332" s="38" t="n">
        <v>2500</v>
      </c>
      <c r="Q332" s="38" t="n">
        <v>0</v>
      </c>
      <c r="R332" s="40">
        <f>IF(J332="","",TODAY()-DATE(LEFT(J332,4)*1,MID(J332,6,2)*1,RIGHT(J332,2)*1))</f>
        <v/>
      </c>
    </row>
    <row r="333" ht="18" customHeight="1" s="31">
      <c r="A333" s="34" t="n">
        <v>331</v>
      </c>
      <c r="B333" s="34" t="inlineStr">
        <is>
          <t>Hali</t>
        </is>
      </c>
      <c r="C333" s="34" t="inlineStr">
        <is>
          <t>Skelton</t>
        </is>
      </c>
      <c r="D333" s="34" t="inlineStr">
        <is>
          <t>University of Alabama</t>
        </is>
      </c>
      <c r="E333" s="34" t="inlineStr">
        <is>
          <t>Psychology</t>
        </is>
      </c>
      <c r="F333" s="35" t="inlineStr">
        <is>
          <t>High</t>
        </is>
      </c>
      <c r="G333" s="35" t="inlineStr">
        <is>
          <t>High</t>
        </is>
      </c>
      <c r="H333" s="34" t="inlineStr">
        <is>
          <t>hbskelton@crimson.ua.edu</t>
        </is>
      </c>
      <c r="I333" s="34" t="inlineStr">
        <is>
          <t>2026-04-02</t>
        </is>
      </c>
      <c r="J333" s="34" t="n"/>
      <c r="K333" s="34" t="inlineStr">
        <is>
          <t>NO</t>
        </is>
      </c>
      <c r="L333" s="36" t="inlineStr">
        <is>
          <t>New Lead</t>
        </is>
      </c>
      <c r="M333" s="34" t="n"/>
      <c r="N333" s="34" t="n"/>
      <c r="O333" s="34" t="n"/>
      <c r="P333" s="34" t="n">
        <v>2500</v>
      </c>
      <c r="Q333" s="34" t="n">
        <v>0</v>
      </c>
      <c r="R333" s="37">
        <f>IF(J333="","",TODAY()-DATE(LEFT(J333,4)*1,MID(J333,6,2)*1,RIGHT(J333,2)*1))</f>
        <v/>
      </c>
    </row>
    <row r="334" ht="18" customHeight="1" s="31">
      <c r="A334" s="38" t="n">
        <v>332</v>
      </c>
      <c r="B334" s="38" t="inlineStr">
        <is>
          <t>Katelyn</t>
        </is>
      </c>
      <c r="C334" s="38" t="inlineStr">
        <is>
          <t>Smith</t>
        </is>
      </c>
      <c r="D334" s="38" t="inlineStr">
        <is>
          <t>University of Alabama</t>
        </is>
      </c>
      <c r="E334" s="38" t="inlineStr">
        <is>
          <t>Psychology</t>
        </is>
      </c>
      <c r="F334" s="35" t="inlineStr">
        <is>
          <t>High</t>
        </is>
      </c>
      <c r="G334" s="35" t="inlineStr">
        <is>
          <t>High</t>
        </is>
      </c>
      <c r="H334" s="38" t="inlineStr">
        <is>
          <t>kdsmith33@crimson.ua.edu</t>
        </is>
      </c>
      <c r="I334" s="38" t="inlineStr">
        <is>
          <t>2026-04-02</t>
        </is>
      </c>
      <c r="J334" s="38" t="n"/>
      <c r="K334" s="38" t="inlineStr">
        <is>
          <t>NO</t>
        </is>
      </c>
      <c r="L334" s="39" t="inlineStr">
        <is>
          <t>New Lead</t>
        </is>
      </c>
      <c r="M334" s="38" t="n"/>
      <c r="N334" s="38" t="n"/>
      <c r="O334" s="38" t="n"/>
      <c r="P334" s="38" t="n">
        <v>2500</v>
      </c>
      <c r="Q334" s="38" t="n">
        <v>0</v>
      </c>
      <c r="R334" s="40">
        <f>IF(J334="","",TODAY()-DATE(LEFT(J334,4)*1,MID(J334,6,2)*1,RIGHT(J334,2)*1))</f>
        <v/>
      </c>
    </row>
    <row r="335" ht="18" customHeight="1" s="31">
      <c r="A335" s="34" t="n">
        <v>333</v>
      </c>
      <c r="B335" s="34" t="inlineStr">
        <is>
          <t>Ashley</t>
        </is>
      </c>
      <c r="C335" s="34" t="inlineStr">
        <is>
          <t>Smith</t>
        </is>
      </c>
      <c r="D335" s="34" t="inlineStr">
        <is>
          <t>University of Alabama</t>
        </is>
      </c>
      <c r="E335" s="34" t="inlineStr">
        <is>
          <t>Psychology</t>
        </is>
      </c>
      <c r="F335" s="35" t="inlineStr">
        <is>
          <t>High</t>
        </is>
      </c>
      <c r="G335" s="35" t="inlineStr">
        <is>
          <t>High</t>
        </is>
      </c>
      <c r="H335" s="34" t="inlineStr">
        <is>
          <t>asmith231@crimson.ua.edu</t>
        </is>
      </c>
      <c r="I335" s="34" t="inlineStr">
        <is>
          <t>2026-04-02</t>
        </is>
      </c>
      <c r="J335" s="34" t="n"/>
      <c r="K335" s="34" t="inlineStr">
        <is>
          <t>NO</t>
        </is>
      </c>
      <c r="L335" s="36" t="inlineStr">
        <is>
          <t>New Lead</t>
        </is>
      </c>
      <c r="M335" s="34" t="n"/>
      <c r="N335" s="34" t="n"/>
      <c r="O335" s="34" t="n"/>
      <c r="P335" s="34" t="n">
        <v>2500</v>
      </c>
      <c r="Q335" s="34" t="n">
        <v>0</v>
      </c>
      <c r="R335" s="37">
        <f>IF(J335="","",TODAY()-DATE(LEFT(J335,4)*1,MID(J335,6,2)*1,RIGHT(J335,2)*1))</f>
        <v/>
      </c>
    </row>
    <row r="336" ht="18" customHeight="1" s="31">
      <c r="A336" s="38" t="n">
        <v>334</v>
      </c>
      <c r="B336" s="38" t="inlineStr">
        <is>
          <t>Haylie</t>
        </is>
      </c>
      <c r="C336" s="38" t="inlineStr">
        <is>
          <t>Stewart</t>
        </is>
      </c>
      <c r="D336" s="38" t="inlineStr">
        <is>
          <t>University of Alabama</t>
        </is>
      </c>
      <c r="E336" s="38" t="inlineStr">
        <is>
          <t>Psychology</t>
        </is>
      </c>
      <c r="F336" s="35" t="inlineStr">
        <is>
          <t>High</t>
        </is>
      </c>
      <c r="G336" s="35" t="inlineStr">
        <is>
          <t>High</t>
        </is>
      </c>
      <c r="H336" s="38" t="inlineStr">
        <is>
          <t>hstewart4@crimson.ua.edu</t>
        </is>
      </c>
      <c r="I336" s="38" t="inlineStr">
        <is>
          <t>2026-04-02</t>
        </is>
      </c>
      <c r="J336" s="38" t="n"/>
      <c r="K336" s="38" t="inlineStr">
        <is>
          <t>NO</t>
        </is>
      </c>
      <c r="L336" s="39" t="inlineStr">
        <is>
          <t>New Lead</t>
        </is>
      </c>
      <c r="M336" s="38" t="n"/>
      <c r="N336" s="38" t="n"/>
      <c r="O336" s="38" t="n"/>
      <c r="P336" s="38" t="n">
        <v>2500</v>
      </c>
      <c r="Q336" s="38" t="n">
        <v>0</v>
      </c>
      <c r="R336" s="40">
        <f>IF(J336="","",TODAY()-DATE(LEFT(J336,4)*1,MID(J336,6,2)*1,RIGHT(J336,2)*1))</f>
        <v/>
      </c>
    </row>
    <row r="337" ht="18" customHeight="1" s="31">
      <c r="A337" s="34" t="n">
        <v>335</v>
      </c>
      <c r="B337" s="34" t="inlineStr">
        <is>
          <t>Hunter</t>
        </is>
      </c>
      <c r="C337" s="34" t="inlineStr">
        <is>
          <t>Sudduth</t>
        </is>
      </c>
      <c r="D337" s="34" t="inlineStr">
        <is>
          <t>University of Alabama</t>
        </is>
      </c>
      <c r="E337" s="34" t="inlineStr">
        <is>
          <t>Psychology</t>
        </is>
      </c>
      <c r="F337" s="35" t="inlineStr">
        <is>
          <t>High</t>
        </is>
      </c>
      <c r="G337" s="35" t="inlineStr">
        <is>
          <t>High</t>
        </is>
      </c>
      <c r="H337" s="34" t="inlineStr">
        <is>
          <t>hksudduth@crimson.ua.edu</t>
        </is>
      </c>
      <c r="I337" s="34" t="inlineStr">
        <is>
          <t>2026-04-02</t>
        </is>
      </c>
      <c r="J337" s="34" t="n"/>
      <c r="K337" s="34" t="inlineStr">
        <is>
          <t>NO</t>
        </is>
      </c>
      <c r="L337" s="36" t="inlineStr">
        <is>
          <t>New Lead</t>
        </is>
      </c>
      <c r="M337" s="34" t="n"/>
      <c r="N337" s="34" t="n"/>
      <c r="O337" s="34" t="n"/>
      <c r="P337" s="34" t="n">
        <v>2500</v>
      </c>
      <c r="Q337" s="34" t="n">
        <v>0</v>
      </c>
      <c r="R337" s="37">
        <f>IF(J337="","",TODAY()-DATE(LEFT(J337,4)*1,MID(J337,6,2)*1,RIGHT(J337,2)*1))</f>
        <v/>
      </c>
    </row>
    <row r="338" ht="18" customHeight="1" s="31">
      <c r="A338" s="38" t="n">
        <v>336</v>
      </c>
      <c r="B338" s="38" t="inlineStr">
        <is>
          <t>Lexi</t>
        </is>
      </c>
      <c r="C338" s="38" t="inlineStr">
        <is>
          <t>Tavakoli</t>
        </is>
      </c>
      <c r="D338" s="38" t="inlineStr">
        <is>
          <t>University of Alabama</t>
        </is>
      </c>
      <c r="E338" s="38" t="inlineStr">
        <is>
          <t>Psychology</t>
        </is>
      </c>
      <c r="F338" s="35" t="inlineStr">
        <is>
          <t>High</t>
        </is>
      </c>
      <c r="G338" s="35" t="inlineStr">
        <is>
          <t>High</t>
        </is>
      </c>
      <c r="H338" s="38" t="inlineStr">
        <is>
          <t>aatavakoli@crimson.ua.edu</t>
        </is>
      </c>
      <c r="I338" s="38" t="inlineStr">
        <is>
          <t>2026-04-02</t>
        </is>
      </c>
      <c r="J338" s="38" t="n"/>
      <c r="K338" s="38" t="inlineStr">
        <is>
          <t>NO</t>
        </is>
      </c>
      <c r="L338" s="39" t="inlineStr">
        <is>
          <t>New Lead</t>
        </is>
      </c>
      <c r="M338" s="38" t="n"/>
      <c r="N338" s="38" t="n"/>
      <c r="O338" s="38" t="n"/>
      <c r="P338" s="38" t="n">
        <v>2500</v>
      </c>
      <c r="Q338" s="38" t="n">
        <v>0</v>
      </c>
      <c r="R338" s="40">
        <f>IF(J338="","",TODAY()-DATE(LEFT(J338,4)*1,MID(J338,6,2)*1,RIGHT(J338,2)*1))</f>
        <v/>
      </c>
    </row>
    <row r="339" ht="18" customHeight="1" s="31">
      <c r="A339" s="34" t="n">
        <v>337</v>
      </c>
      <c r="B339" s="34" t="inlineStr">
        <is>
          <t>Olivia</t>
        </is>
      </c>
      <c r="C339" s="34" t="inlineStr">
        <is>
          <t>Thompson</t>
        </is>
      </c>
      <c r="D339" s="34" t="inlineStr">
        <is>
          <t>University of Alabama</t>
        </is>
      </c>
      <c r="E339" s="34" t="inlineStr">
        <is>
          <t>Psychology</t>
        </is>
      </c>
      <c r="F339" s="35" t="inlineStr">
        <is>
          <t>High</t>
        </is>
      </c>
      <c r="G339" s="35" t="inlineStr">
        <is>
          <t>High</t>
        </is>
      </c>
      <c r="H339" s="34" t="inlineStr">
        <is>
          <t>othompson1@crimson.ua.edu</t>
        </is>
      </c>
      <c r="I339" s="34" t="inlineStr">
        <is>
          <t>2026-04-02</t>
        </is>
      </c>
      <c r="J339" s="34" t="n"/>
      <c r="K339" s="34" t="inlineStr">
        <is>
          <t>NO</t>
        </is>
      </c>
      <c r="L339" s="36" t="inlineStr">
        <is>
          <t>New Lead</t>
        </is>
      </c>
      <c r="M339" s="34" t="n"/>
      <c r="N339" s="34" t="n"/>
      <c r="O339" s="34" t="n"/>
      <c r="P339" s="34" t="n">
        <v>2500</v>
      </c>
      <c r="Q339" s="34" t="n">
        <v>0</v>
      </c>
      <c r="R339" s="37">
        <f>IF(J339="","",TODAY()-DATE(LEFT(J339,4)*1,MID(J339,6,2)*1,RIGHT(J339,2)*1))</f>
        <v/>
      </c>
    </row>
    <row r="340" ht="18" customHeight="1" s="31">
      <c r="A340" s="38" t="n">
        <v>338</v>
      </c>
      <c r="B340" s="38" t="inlineStr">
        <is>
          <t>Chris</t>
        </is>
      </c>
      <c r="C340" s="38" t="inlineStr">
        <is>
          <t>Trenge</t>
        </is>
      </c>
      <c r="D340" s="38" t="inlineStr">
        <is>
          <t>University of Alabama</t>
        </is>
      </c>
      <c r="E340" s="38" t="inlineStr">
        <is>
          <t>Psychology</t>
        </is>
      </c>
      <c r="F340" s="35" t="inlineStr">
        <is>
          <t>High</t>
        </is>
      </c>
      <c r="G340" s="35" t="inlineStr">
        <is>
          <t>High</t>
        </is>
      </c>
      <c r="H340" s="38" t="inlineStr">
        <is>
          <t>cjtrenge@crimson.ua.edu</t>
        </is>
      </c>
      <c r="I340" s="38" t="inlineStr">
        <is>
          <t>2026-04-02</t>
        </is>
      </c>
      <c r="J340" s="38" t="n"/>
      <c r="K340" s="38" t="inlineStr">
        <is>
          <t>NO</t>
        </is>
      </c>
      <c r="L340" s="39" t="inlineStr">
        <is>
          <t>New Lead</t>
        </is>
      </c>
      <c r="M340" s="38" t="n"/>
      <c r="N340" s="38" t="n"/>
      <c r="O340" s="38" t="n"/>
      <c r="P340" s="38" t="n">
        <v>2500</v>
      </c>
      <c r="Q340" s="38" t="n">
        <v>0</v>
      </c>
      <c r="R340" s="40">
        <f>IF(J340="","",TODAY()-DATE(LEFT(J340,4)*1,MID(J340,6,2)*1,RIGHT(J340,2)*1))</f>
        <v/>
      </c>
    </row>
    <row r="341" ht="18" customHeight="1" s="31">
      <c r="A341" s="34" t="n">
        <v>339</v>
      </c>
      <c r="B341" s="34" t="inlineStr">
        <is>
          <t>Abigail</t>
        </is>
      </c>
      <c r="C341" s="34" t="inlineStr">
        <is>
          <t>Vance</t>
        </is>
      </c>
      <c r="D341" s="34" t="inlineStr">
        <is>
          <t>University of Alabama</t>
        </is>
      </c>
      <c r="E341" s="34" t="inlineStr">
        <is>
          <t>Psychology</t>
        </is>
      </c>
      <c r="F341" s="35" t="inlineStr">
        <is>
          <t>High</t>
        </is>
      </c>
      <c r="G341" s="35" t="inlineStr">
        <is>
          <t>High</t>
        </is>
      </c>
      <c r="H341" s="34" t="inlineStr">
        <is>
          <t>ahvance1@crimson.ua.edu</t>
        </is>
      </c>
      <c r="I341" s="34" t="inlineStr">
        <is>
          <t>2026-04-02</t>
        </is>
      </c>
      <c r="J341" s="34" t="n"/>
      <c r="K341" s="34" t="inlineStr">
        <is>
          <t>NO</t>
        </is>
      </c>
      <c r="L341" s="36" t="inlineStr">
        <is>
          <t>New Lead</t>
        </is>
      </c>
      <c r="M341" s="34" t="n"/>
      <c r="N341" s="34" t="n"/>
      <c r="O341" s="34" t="n"/>
      <c r="P341" s="34" t="n">
        <v>2500</v>
      </c>
      <c r="Q341" s="34" t="n">
        <v>0</v>
      </c>
      <c r="R341" s="37">
        <f>IF(J341="","",TODAY()-DATE(LEFT(J341,4)*1,MID(J341,6,2)*1,RIGHT(J341,2)*1))</f>
        <v/>
      </c>
    </row>
    <row r="342" ht="18" customHeight="1" s="31">
      <c r="A342" s="38" t="n">
        <v>340</v>
      </c>
      <c r="B342" s="38" t="inlineStr">
        <is>
          <t>Maria</t>
        </is>
      </c>
      <c r="C342" s="38" t="inlineStr">
        <is>
          <t>Velasquez</t>
        </is>
      </c>
      <c r="D342" s="38" t="inlineStr">
        <is>
          <t>University of Alabama</t>
        </is>
      </c>
      <c r="E342" s="38" t="inlineStr">
        <is>
          <t>Psychology</t>
        </is>
      </c>
      <c r="F342" s="35" t="inlineStr">
        <is>
          <t>High</t>
        </is>
      </c>
      <c r="G342" s="35" t="inlineStr">
        <is>
          <t>High</t>
        </is>
      </c>
      <c r="H342" s="38" t="inlineStr">
        <is>
          <t>mjvelasquez1@crimson.ua.edu</t>
        </is>
      </c>
      <c r="I342" s="38" t="inlineStr">
        <is>
          <t>2026-04-02</t>
        </is>
      </c>
      <c r="J342" s="38" t="n"/>
      <c r="K342" s="38" t="inlineStr">
        <is>
          <t>NO</t>
        </is>
      </c>
      <c r="L342" s="39" t="inlineStr">
        <is>
          <t>New Lead</t>
        </is>
      </c>
      <c r="M342" s="38" t="n"/>
      <c r="N342" s="38" t="n"/>
      <c r="O342" s="38" t="n"/>
      <c r="P342" s="38" t="n">
        <v>2500</v>
      </c>
      <c r="Q342" s="38" t="n">
        <v>0</v>
      </c>
      <c r="R342" s="40">
        <f>IF(J342="","",TODAY()-DATE(LEFT(J342,4)*1,MID(J342,6,2)*1,RIGHT(J342,2)*1))</f>
        <v/>
      </c>
    </row>
    <row r="343" ht="18" customHeight="1" s="31">
      <c r="A343" s="34" t="n">
        <v>341</v>
      </c>
      <c r="B343" s="34" t="inlineStr">
        <is>
          <t>Emily</t>
        </is>
      </c>
      <c r="C343" s="34" t="inlineStr">
        <is>
          <t>Vinet</t>
        </is>
      </c>
      <c r="D343" s="34" t="inlineStr">
        <is>
          <t>University of Alabama</t>
        </is>
      </c>
      <c r="E343" s="34" t="inlineStr">
        <is>
          <t>Psychology</t>
        </is>
      </c>
      <c r="F343" s="35" t="inlineStr">
        <is>
          <t>High</t>
        </is>
      </c>
      <c r="G343" s="35" t="inlineStr">
        <is>
          <t>High</t>
        </is>
      </c>
      <c r="H343" s="34" t="inlineStr">
        <is>
          <t>evinet@crimson.ua.edu</t>
        </is>
      </c>
      <c r="I343" s="34" t="inlineStr">
        <is>
          <t>2026-04-02</t>
        </is>
      </c>
      <c r="J343" s="34" t="n"/>
      <c r="K343" s="34" t="inlineStr">
        <is>
          <t>NO</t>
        </is>
      </c>
      <c r="L343" s="36" t="inlineStr">
        <is>
          <t>New Lead</t>
        </is>
      </c>
      <c r="M343" s="34" t="n"/>
      <c r="N343" s="34" t="n"/>
      <c r="O343" s="34" t="n"/>
      <c r="P343" s="34" t="n">
        <v>2500</v>
      </c>
      <c r="Q343" s="34" t="n">
        <v>0</v>
      </c>
      <c r="R343" s="37">
        <f>IF(J343="","",TODAY()-DATE(LEFT(J343,4)*1,MID(J343,6,2)*1,RIGHT(J343,2)*1))</f>
        <v/>
      </c>
    </row>
    <row r="344" ht="18" customHeight="1" s="31">
      <c r="A344" s="38" t="n">
        <v>342</v>
      </c>
      <c r="B344" s="38" t="inlineStr">
        <is>
          <t>Justin</t>
        </is>
      </c>
      <c r="C344" s="38" t="inlineStr">
        <is>
          <t>Wahlers</t>
        </is>
      </c>
      <c r="D344" s="38" t="inlineStr">
        <is>
          <t>University of Alabama</t>
        </is>
      </c>
      <c r="E344" s="38" t="inlineStr">
        <is>
          <t>Psychology</t>
        </is>
      </c>
      <c r="F344" s="35" t="inlineStr">
        <is>
          <t>High</t>
        </is>
      </c>
      <c r="G344" s="35" t="inlineStr">
        <is>
          <t>High</t>
        </is>
      </c>
      <c r="H344" s="38" t="inlineStr">
        <is>
          <t>jnwahlers@crimson.ua.edu</t>
        </is>
      </c>
      <c r="I344" s="38" t="inlineStr">
        <is>
          <t>2026-04-02</t>
        </is>
      </c>
      <c r="J344" s="38" t="n"/>
      <c r="K344" s="38" t="inlineStr">
        <is>
          <t>NO</t>
        </is>
      </c>
      <c r="L344" s="39" t="inlineStr">
        <is>
          <t>New Lead</t>
        </is>
      </c>
      <c r="M344" s="38" t="n"/>
      <c r="N344" s="38" t="n"/>
      <c r="O344" s="38" t="n"/>
      <c r="P344" s="38" t="n">
        <v>2500</v>
      </c>
      <c r="Q344" s="38" t="n">
        <v>0</v>
      </c>
      <c r="R344" s="40">
        <f>IF(J344="","",TODAY()-DATE(LEFT(J344,4)*1,MID(J344,6,2)*1,RIGHT(J344,2)*1))</f>
        <v/>
      </c>
    </row>
    <row r="345" ht="18" customHeight="1" s="31">
      <c r="A345" s="34" t="n">
        <v>343</v>
      </c>
      <c r="B345" s="34" t="inlineStr">
        <is>
          <t>Victoria</t>
        </is>
      </c>
      <c r="C345" s="34" t="inlineStr">
        <is>
          <t>Ward</t>
        </is>
      </c>
      <c r="D345" s="34" t="inlineStr">
        <is>
          <t>University of Alabama</t>
        </is>
      </c>
      <c r="E345" s="34" t="inlineStr">
        <is>
          <t>Psychology</t>
        </is>
      </c>
      <c r="F345" s="35" t="inlineStr">
        <is>
          <t>High</t>
        </is>
      </c>
      <c r="G345" s="35" t="inlineStr">
        <is>
          <t>High</t>
        </is>
      </c>
      <c r="H345" s="34" t="inlineStr">
        <is>
          <t>vrward1@crimson.ua.edu</t>
        </is>
      </c>
      <c r="I345" s="34" t="inlineStr">
        <is>
          <t>2026-04-02</t>
        </is>
      </c>
      <c r="J345" s="34" t="n"/>
      <c r="K345" s="34" t="inlineStr">
        <is>
          <t>NO</t>
        </is>
      </c>
      <c r="L345" s="36" t="inlineStr">
        <is>
          <t>New Lead</t>
        </is>
      </c>
      <c r="M345" s="34" t="n"/>
      <c r="N345" s="34" t="n"/>
      <c r="O345" s="34" t="n"/>
      <c r="P345" s="34" t="n">
        <v>2500</v>
      </c>
      <c r="Q345" s="34" t="n">
        <v>0</v>
      </c>
      <c r="R345" s="37">
        <f>IF(J345="","",TODAY()-DATE(LEFT(J345,4)*1,MID(J345,6,2)*1,RIGHT(J345,2)*1))</f>
        <v/>
      </c>
    </row>
    <row r="346" ht="18" customHeight="1" s="31">
      <c r="A346" s="38" t="n">
        <v>344</v>
      </c>
      <c r="B346" s="38" t="inlineStr">
        <is>
          <t>Avery</t>
        </is>
      </c>
      <c r="C346" s="38" t="inlineStr">
        <is>
          <t>Westbrooks</t>
        </is>
      </c>
      <c r="D346" s="38" t="inlineStr">
        <is>
          <t>University of Alabama</t>
        </is>
      </c>
      <c r="E346" s="38" t="inlineStr">
        <is>
          <t>Psychology</t>
        </is>
      </c>
      <c r="F346" s="35" t="inlineStr">
        <is>
          <t>High</t>
        </is>
      </c>
      <c r="G346" s="35" t="inlineStr">
        <is>
          <t>High</t>
        </is>
      </c>
      <c r="H346" s="38" t="inlineStr">
        <is>
          <t>akwestbrooks@crimson.ua.edu</t>
        </is>
      </c>
      <c r="I346" s="38" t="inlineStr">
        <is>
          <t>2026-04-02</t>
        </is>
      </c>
      <c r="J346" s="38" t="n"/>
      <c r="K346" s="38" t="inlineStr">
        <is>
          <t>NO</t>
        </is>
      </c>
      <c r="L346" s="39" t="inlineStr">
        <is>
          <t>New Lead</t>
        </is>
      </c>
      <c r="M346" s="38" t="n"/>
      <c r="N346" s="38" t="n"/>
      <c r="O346" s="38" t="n"/>
      <c r="P346" s="38" t="n">
        <v>2500</v>
      </c>
      <c r="Q346" s="38" t="n">
        <v>0</v>
      </c>
      <c r="R346" s="40">
        <f>IF(J346="","",TODAY()-DATE(LEFT(J346,4)*1,MID(J346,6,2)*1,RIGHT(J346,2)*1))</f>
        <v/>
      </c>
    </row>
    <row r="347" ht="18" customHeight="1" s="31">
      <c r="A347" s="34" t="n">
        <v>345</v>
      </c>
      <c r="B347" s="34" t="inlineStr">
        <is>
          <t>Cassidy</t>
        </is>
      </c>
      <c r="C347" s="34" t="inlineStr">
        <is>
          <t>White</t>
        </is>
      </c>
      <c r="D347" s="34" t="inlineStr">
        <is>
          <t>University of Alabama</t>
        </is>
      </c>
      <c r="E347" s="34" t="inlineStr">
        <is>
          <t>Psychology</t>
        </is>
      </c>
      <c r="F347" s="35" t="inlineStr">
        <is>
          <t>High</t>
        </is>
      </c>
      <c r="G347" s="35" t="inlineStr">
        <is>
          <t>High</t>
        </is>
      </c>
      <c r="H347" s="34" t="inlineStr">
        <is>
          <t>cswhite7@crimson.ua.edu</t>
        </is>
      </c>
      <c r="I347" s="34" t="inlineStr">
        <is>
          <t>2026-04-02</t>
        </is>
      </c>
      <c r="J347" s="34" t="n"/>
      <c r="K347" s="34" t="inlineStr">
        <is>
          <t>NO</t>
        </is>
      </c>
      <c r="L347" s="36" t="inlineStr">
        <is>
          <t>New Lead</t>
        </is>
      </c>
      <c r="M347" s="34" t="n"/>
      <c r="N347" s="34" t="n"/>
      <c r="O347" s="34" t="n"/>
      <c r="P347" s="34" t="n">
        <v>2500</v>
      </c>
      <c r="Q347" s="34" t="n">
        <v>0</v>
      </c>
      <c r="R347" s="37">
        <f>IF(J347="","",TODAY()-DATE(LEFT(J347,4)*1,MID(J347,6,2)*1,RIGHT(J347,2)*1))</f>
        <v/>
      </c>
    </row>
    <row r="348" ht="18" customHeight="1" s="31">
      <c r="A348" s="38" t="n">
        <v>346</v>
      </c>
      <c r="B348" s="38" t="inlineStr">
        <is>
          <t>Adrian</t>
        </is>
      </c>
      <c r="C348" s="38" t="inlineStr">
        <is>
          <t>Williams</t>
        </is>
      </c>
      <c r="D348" s="38" t="inlineStr">
        <is>
          <t>University of Alabama</t>
        </is>
      </c>
      <c r="E348" s="38" t="inlineStr">
        <is>
          <t>Psychology</t>
        </is>
      </c>
      <c r="F348" s="35" t="inlineStr">
        <is>
          <t>High</t>
        </is>
      </c>
      <c r="G348" s="35" t="inlineStr">
        <is>
          <t>High</t>
        </is>
      </c>
      <c r="H348" s="38" t="inlineStr">
        <is>
          <t>acwilliams26@crimson.ua.edu</t>
        </is>
      </c>
      <c r="I348" s="38" t="inlineStr">
        <is>
          <t>2026-04-02</t>
        </is>
      </c>
      <c r="J348" s="38" t="n"/>
      <c r="K348" s="38" t="inlineStr">
        <is>
          <t>NO</t>
        </is>
      </c>
      <c r="L348" s="39" t="inlineStr">
        <is>
          <t>New Lead</t>
        </is>
      </c>
      <c r="M348" s="38" t="n"/>
      <c r="N348" s="38" t="n"/>
      <c r="O348" s="38" t="n"/>
      <c r="P348" s="38" t="n">
        <v>2500</v>
      </c>
      <c r="Q348" s="38" t="n">
        <v>0</v>
      </c>
      <c r="R348" s="40">
        <f>IF(J348="","",TODAY()-DATE(LEFT(J348,4)*1,MID(J348,6,2)*1,RIGHT(J348,2)*1))</f>
        <v/>
      </c>
    </row>
    <row r="349" ht="18" customHeight="1" s="31">
      <c r="A349" s="34" t="n">
        <v>347</v>
      </c>
      <c r="B349" s="34" t="inlineStr">
        <is>
          <t>Skylar</t>
        </is>
      </c>
      <c r="C349" s="34" t="inlineStr">
        <is>
          <t>Wilson</t>
        </is>
      </c>
      <c r="D349" s="34" t="inlineStr">
        <is>
          <t>University of Alabama</t>
        </is>
      </c>
      <c r="E349" s="34" t="inlineStr">
        <is>
          <t>Psychology</t>
        </is>
      </c>
      <c r="F349" s="35" t="inlineStr">
        <is>
          <t>High</t>
        </is>
      </c>
      <c r="G349" s="35" t="inlineStr">
        <is>
          <t>High</t>
        </is>
      </c>
      <c r="H349" s="34" t="inlineStr">
        <is>
          <t>swilson18@crimson.ua.edu</t>
        </is>
      </c>
      <c r="I349" s="34" t="inlineStr">
        <is>
          <t>2026-04-02</t>
        </is>
      </c>
      <c r="J349" s="34" t="n"/>
      <c r="K349" s="34" t="inlineStr">
        <is>
          <t>NO</t>
        </is>
      </c>
      <c r="L349" s="36" t="inlineStr">
        <is>
          <t>New Lead</t>
        </is>
      </c>
      <c r="M349" s="34" t="n"/>
      <c r="N349" s="34" t="n"/>
      <c r="O349" s="34" t="n"/>
      <c r="P349" s="34" t="n">
        <v>2500</v>
      </c>
      <c r="Q349" s="34" t="n">
        <v>0</v>
      </c>
      <c r="R349" s="37">
        <f>IF(J349="","",TODAY()-DATE(LEFT(J349,4)*1,MID(J349,6,2)*1,RIGHT(J349,2)*1))</f>
        <v/>
      </c>
    </row>
    <row r="350" ht="18" customHeight="1" s="31">
      <c r="A350" s="38" t="n">
        <v>348</v>
      </c>
      <c r="B350" s="38" t="inlineStr">
        <is>
          <t>Tristin</t>
        </is>
      </c>
      <c r="C350" s="38" t="inlineStr">
        <is>
          <t>Winkler</t>
        </is>
      </c>
      <c r="D350" s="38" t="inlineStr">
        <is>
          <t>University of Alabama</t>
        </is>
      </c>
      <c r="E350" s="38" t="inlineStr">
        <is>
          <t>Psychology</t>
        </is>
      </c>
      <c r="F350" s="35" t="inlineStr">
        <is>
          <t>High</t>
        </is>
      </c>
      <c r="G350" s="35" t="inlineStr">
        <is>
          <t>High</t>
        </is>
      </c>
      <c r="H350" s="38" t="inlineStr">
        <is>
          <t>tlwinkler@crimson.ua.edu</t>
        </is>
      </c>
      <c r="I350" s="38" t="inlineStr">
        <is>
          <t>2026-04-02</t>
        </is>
      </c>
      <c r="J350" s="38" t="n"/>
      <c r="K350" s="38" t="inlineStr">
        <is>
          <t>NO</t>
        </is>
      </c>
      <c r="L350" s="39" t="inlineStr">
        <is>
          <t>New Lead</t>
        </is>
      </c>
      <c r="M350" s="38" t="n"/>
      <c r="N350" s="38" t="n"/>
      <c r="O350" s="38" t="n"/>
      <c r="P350" s="38" t="n">
        <v>2500</v>
      </c>
      <c r="Q350" s="38" t="n">
        <v>0</v>
      </c>
      <c r="R350" s="40">
        <f>IF(J350="","",TODAY()-DATE(LEFT(J350,4)*1,MID(J350,6,2)*1,RIGHT(J350,2)*1))</f>
        <v/>
      </c>
    </row>
    <row r="351" ht="18" customHeight="1" s="31">
      <c r="A351" s="34" t="n">
        <v>349</v>
      </c>
      <c r="B351" s="34" t="inlineStr">
        <is>
          <t>Dani</t>
        </is>
      </c>
      <c r="C351" s="34" t="inlineStr">
        <is>
          <t>Witt</t>
        </is>
      </c>
      <c r="D351" s="34" t="inlineStr">
        <is>
          <t>University of Alabama</t>
        </is>
      </c>
      <c r="E351" s="34" t="inlineStr">
        <is>
          <t>Psychology</t>
        </is>
      </c>
      <c r="F351" s="35" t="inlineStr">
        <is>
          <t>High</t>
        </is>
      </c>
      <c r="G351" s="35" t="inlineStr">
        <is>
          <t>High</t>
        </is>
      </c>
      <c r="H351" s="34" t="inlineStr">
        <is>
          <t>dewitt2@crimson.ua.edu</t>
        </is>
      </c>
      <c r="I351" s="34" t="inlineStr">
        <is>
          <t>2026-04-02</t>
        </is>
      </c>
      <c r="J351" s="34" t="n"/>
      <c r="K351" s="34" t="inlineStr">
        <is>
          <t>NO</t>
        </is>
      </c>
      <c r="L351" s="36" t="inlineStr">
        <is>
          <t>New Lead</t>
        </is>
      </c>
      <c r="M351" s="34" t="n"/>
      <c r="N351" s="34" t="n"/>
      <c r="O351" s="34" t="n"/>
      <c r="P351" s="34" t="n">
        <v>2500</v>
      </c>
      <c r="Q351" s="34" t="n">
        <v>0</v>
      </c>
      <c r="R351" s="37">
        <f>IF(J351="","",TODAY()-DATE(LEFT(J351,4)*1,MID(J351,6,2)*1,RIGHT(J351,2)*1))</f>
        <v/>
      </c>
    </row>
    <row r="352" ht="18" customHeight="1" s="31">
      <c r="A352" s="38" t="n">
        <v>350</v>
      </c>
      <c r="B352" s="38" t="inlineStr">
        <is>
          <t>Jong</t>
        </is>
      </c>
      <c r="C352" s="38" t="inlineStr">
        <is>
          <t>Woo Suh</t>
        </is>
      </c>
      <c r="D352" s="38" t="inlineStr">
        <is>
          <t>University of Alabama</t>
        </is>
      </c>
      <c r="E352" s="38" t="inlineStr">
        <is>
          <t>Psychology</t>
        </is>
      </c>
      <c r="F352" s="35" t="inlineStr">
        <is>
          <t>High</t>
        </is>
      </c>
      <c r="G352" s="35" t="inlineStr">
        <is>
          <t>High</t>
        </is>
      </c>
      <c r="H352" s="38" t="inlineStr">
        <is>
          <t>jsuh8@crimson.ua.edu</t>
        </is>
      </c>
      <c r="I352" s="38" t="inlineStr">
        <is>
          <t>2026-04-02</t>
        </is>
      </c>
      <c r="J352" s="38" t="n"/>
      <c r="K352" s="38" t="inlineStr">
        <is>
          <t>NO</t>
        </is>
      </c>
      <c r="L352" s="39" t="inlineStr">
        <is>
          <t>New Lead</t>
        </is>
      </c>
      <c r="M352" s="38" t="n"/>
      <c r="N352" s="38" t="n"/>
      <c r="O352" s="38" t="n"/>
      <c r="P352" s="38" t="n">
        <v>2500</v>
      </c>
      <c r="Q352" s="38" t="n">
        <v>0</v>
      </c>
      <c r="R352" s="40">
        <f>IF(J352="","",TODAY()-DATE(LEFT(J352,4)*1,MID(J352,6,2)*1,RIGHT(J352,2)*1))</f>
        <v/>
      </c>
    </row>
    <row r="353" ht="18" customHeight="1" s="31">
      <c r="A353" s="34" t="n">
        <v>351</v>
      </c>
      <c r="B353" s="34" t="inlineStr">
        <is>
          <t>Amy</t>
        </is>
      </c>
      <c r="C353" s="34" t="inlineStr">
        <is>
          <t>Xu</t>
        </is>
      </c>
      <c r="D353" s="34" t="inlineStr">
        <is>
          <t>University of Alabama</t>
        </is>
      </c>
      <c r="E353" s="34" t="inlineStr">
        <is>
          <t>Psychology</t>
        </is>
      </c>
      <c r="F353" s="35" t="inlineStr">
        <is>
          <t>High</t>
        </is>
      </c>
      <c r="G353" s="35" t="inlineStr">
        <is>
          <t>High</t>
        </is>
      </c>
      <c r="H353" s="34" t="inlineStr">
        <is>
          <t>axu2@crimson.ua.edu</t>
        </is>
      </c>
      <c r="I353" s="34" t="inlineStr">
        <is>
          <t>2026-04-02</t>
        </is>
      </c>
      <c r="J353" s="34" t="n"/>
      <c r="K353" s="34" t="inlineStr">
        <is>
          <t>NO</t>
        </is>
      </c>
      <c r="L353" s="36" t="inlineStr">
        <is>
          <t>New Lead</t>
        </is>
      </c>
      <c r="M353" s="34" t="n"/>
      <c r="N353" s="34" t="n"/>
      <c r="O353" s="34" t="n"/>
      <c r="P353" s="34" t="n">
        <v>2500</v>
      </c>
      <c r="Q353" s="34" t="n">
        <v>0</v>
      </c>
      <c r="R353" s="37">
        <f>IF(J353="","",TODAY()-DATE(LEFT(J353,4)*1,MID(J353,6,2)*1,RIGHT(J353,2)*1))</f>
        <v/>
      </c>
    </row>
    <row r="354" ht="18" customHeight="1" s="31">
      <c r="A354" s="38" t="n">
        <v>352</v>
      </c>
      <c r="B354" s="38" t="inlineStr">
        <is>
          <t>Peter</t>
        </is>
      </c>
      <c r="C354" s="38" t="inlineStr">
        <is>
          <t>Xu</t>
        </is>
      </c>
      <c r="D354" s="38" t="inlineStr">
        <is>
          <t>University of Alabama</t>
        </is>
      </c>
      <c r="E354" s="38" t="inlineStr">
        <is>
          <t>Psychology</t>
        </is>
      </c>
      <c r="F354" s="35" t="inlineStr">
        <is>
          <t>High</t>
        </is>
      </c>
      <c r="G354" s="35" t="inlineStr">
        <is>
          <t>High</t>
        </is>
      </c>
      <c r="H354" s="38" t="inlineStr">
        <is>
          <t>hxu42@crimson.ua.edu</t>
        </is>
      </c>
      <c r="I354" s="38" t="inlineStr">
        <is>
          <t>2026-04-02</t>
        </is>
      </c>
      <c r="J354" s="38" t="n"/>
      <c r="K354" s="38" t="inlineStr">
        <is>
          <t>NO</t>
        </is>
      </c>
      <c r="L354" s="39" t="inlineStr">
        <is>
          <t>New Lead</t>
        </is>
      </c>
      <c r="M354" s="38" t="n"/>
      <c r="N354" s="38" t="n"/>
      <c r="O354" s="38" t="n"/>
      <c r="P354" s="38" t="n">
        <v>2500</v>
      </c>
      <c r="Q354" s="38" t="n">
        <v>0</v>
      </c>
      <c r="R354" s="40">
        <f>IF(J354="","",TODAY()-DATE(LEFT(J354,4)*1,MID(J354,6,2)*1,RIGHT(J354,2)*1))</f>
        <v/>
      </c>
    </row>
    <row r="355" ht="18" customHeight="1" s="31">
      <c r="A355" s="34" t="n">
        <v>353</v>
      </c>
      <c r="B355" s="34" t="inlineStr">
        <is>
          <t>Seima</t>
        </is>
      </c>
      <c r="C355" s="34" t="inlineStr">
        <is>
          <t>Al-Momani</t>
        </is>
      </c>
      <c r="D355" s="34" t="inlineStr">
        <is>
          <t>University of Nebraska–Lincoln</t>
        </is>
      </c>
      <c r="E355" s="34" t="inlineStr">
        <is>
          <t>Clinical Psychology</t>
        </is>
      </c>
      <c r="F355" s="35" t="inlineStr">
        <is>
          <t>High</t>
        </is>
      </c>
      <c r="G355" s="35" t="inlineStr">
        <is>
          <t>High</t>
        </is>
      </c>
      <c r="H355" s="34" t="inlineStr">
        <is>
          <t>seima-al-momani@huskers.unl.edu</t>
        </is>
      </c>
      <c r="I355" s="34" t="inlineStr">
        <is>
          <t>2026-04-02</t>
        </is>
      </c>
      <c r="J355" s="34" t="n"/>
      <c r="K355" s="34" t="inlineStr">
        <is>
          <t>NO</t>
        </is>
      </c>
      <c r="L355" s="36" t="inlineStr">
        <is>
          <t>New Lead</t>
        </is>
      </c>
      <c r="M355" s="34" t="n"/>
      <c r="N355" s="34" t="n"/>
      <c r="O355" s="34" t="n"/>
      <c r="P355" s="34" t="n">
        <v>2500</v>
      </c>
      <c r="Q355" s="34" t="n">
        <v>0</v>
      </c>
      <c r="R355" s="37">
        <f>IF(J355="","",TODAY()-DATE(LEFT(J355,4)*1,MID(J355,6,2)*1,RIGHT(J355,2)*1))</f>
        <v/>
      </c>
    </row>
    <row r="356" ht="18" customHeight="1" s="31">
      <c r="A356" s="38" t="n">
        <v>354</v>
      </c>
      <c r="B356" s="38" t="inlineStr">
        <is>
          <t>Maeve</t>
        </is>
      </c>
      <c r="C356" s="38" t="inlineStr">
        <is>
          <t>Allen</t>
        </is>
      </c>
      <c r="D356" s="38" t="inlineStr">
        <is>
          <t>University of Nebraska–Lincoln</t>
        </is>
      </c>
      <c r="E356" s="38" t="inlineStr">
        <is>
          <t>Social &amp; Cognitive</t>
        </is>
      </c>
      <c r="F356" s="41" t="inlineStr">
        <is>
          <t>Medium</t>
        </is>
      </c>
      <c r="G356" s="35" t="inlineStr">
        <is>
          <t>High</t>
        </is>
      </c>
      <c r="H356" s="38" t="inlineStr">
        <is>
          <t>mallen43@huskers.unl.edu</t>
        </is>
      </c>
      <c r="I356" s="38" t="inlineStr">
        <is>
          <t>2026-04-02</t>
        </is>
      </c>
      <c r="J356" s="38" t="n"/>
      <c r="K356" s="38" t="inlineStr">
        <is>
          <t>NO</t>
        </is>
      </c>
      <c r="L356" s="39" t="inlineStr">
        <is>
          <t>New Lead</t>
        </is>
      </c>
      <c r="M356" s="38" t="n"/>
      <c r="N356" s="38" t="n"/>
      <c r="O356" s="38" t="n"/>
      <c r="P356" s="38" t="n">
        <v>2500</v>
      </c>
      <c r="Q356" s="38" t="n">
        <v>0</v>
      </c>
      <c r="R356" s="40">
        <f>IF(J356="","",TODAY()-DATE(LEFT(J356,4)*1,MID(J356,6,2)*1,RIGHT(J356,2)*1))</f>
        <v/>
      </c>
    </row>
    <row r="357" ht="18" customHeight="1" s="31">
      <c r="A357" s="34" t="n">
        <v>355</v>
      </c>
      <c r="B357" s="34" t="inlineStr">
        <is>
          <t>Jacey</t>
        </is>
      </c>
      <c r="C357" s="34" t="inlineStr">
        <is>
          <t>Anderberg</t>
        </is>
      </c>
      <c r="D357" s="34" t="inlineStr">
        <is>
          <t>University of Nebraska–Lincoln</t>
        </is>
      </c>
      <c r="E357" s="34" t="inlineStr">
        <is>
          <t>Clinical Psychology</t>
        </is>
      </c>
      <c r="F357" s="35" t="inlineStr">
        <is>
          <t>High</t>
        </is>
      </c>
      <c r="G357" s="35" t="inlineStr">
        <is>
          <t>High</t>
        </is>
      </c>
      <c r="H357" s="34" t="inlineStr">
        <is>
          <t>janderberg2@huskers.unl.edu</t>
        </is>
      </c>
      <c r="I357" s="34" t="inlineStr">
        <is>
          <t>2026-04-02</t>
        </is>
      </c>
      <c r="J357" s="34" t="n"/>
      <c r="K357" s="34" t="inlineStr">
        <is>
          <t>NO</t>
        </is>
      </c>
      <c r="L357" s="36" t="inlineStr">
        <is>
          <t>New Lead</t>
        </is>
      </c>
      <c r="M357" s="34" t="n"/>
      <c r="N357" s="34" t="n"/>
      <c r="O357" s="34" t="n"/>
      <c r="P357" s="34" t="n">
        <v>2500</v>
      </c>
      <c r="Q357" s="34" t="n">
        <v>0</v>
      </c>
      <c r="R357" s="37">
        <f>IF(J357="","",TODAY()-DATE(LEFT(J357,4)*1,MID(J357,6,2)*1,RIGHT(J357,2)*1))</f>
        <v/>
      </c>
    </row>
    <row r="358" ht="18" customHeight="1" s="31">
      <c r="A358" s="38" t="n">
        <v>356</v>
      </c>
      <c r="B358" s="38" t="inlineStr">
        <is>
          <t>Gabriel</t>
        </is>
      </c>
      <c r="C358" s="38" t="inlineStr">
        <is>
          <t>Araujo Zita</t>
        </is>
      </c>
      <c r="D358" s="38" t="inlineStr">
        <is>
          <t>University of Nebraska–Lincoln</t>
        </is>
      </c>
      <c r="E358" s="38" t="inlineStr">
        <is>
          <t>Social &amp; Cognitive</t>
        </is>
      </c>
      <c r="F358" s="41" t="inlineStr">
        <is>
          <t>Medium</t>
        </is>
      </c>
      <c r="G358" s="35" t="inlineStr">
        <is>
          <t>High</t>
        </is>
      </c>
      <c r="H358" s="38" t="inlineStr">
        <is>
          <t>gzitaaraujo2@huskers.unl.edu</t>
        </is>
      </c>
      <c r="I358" s="38" t="inlineStr">
        <is>
          <t>2026-04-02</t>
        </is>
      </c>
      <c r="J358" s="38" t="n"/>
      <c r="K358" s="38" t="inlineStr">
        <is>
          <t>NO</t>
        </is>
      </c>
      <c r="L358" s="39" t="inlineStr">
        <is>
          <t>New Lead</t>
        </is>
      </c>
      <c r="M358" s="38" t="n"/>
      <c r="N358" s="38" t="n"/>
      <c r="O358" s="38" t="n"/>
      <c r="P358" s="38" t="n">
        <v>2500</v>
      </c>
      <c r="Q358" s="38" t="n">
        <v>0</v>
      </c>
      <c r="R358" s="40">
        <f>IF(J358="","",TODAY()-DATE(LEFT(J358,4)*1,MID(J358,6,2)*1,RIGHT(J358,2)*1))</f>
        <v/>
      </c>
    </row>
    <row r="359" ht="18" customHeight="1" s="31">
      <c r="A359" s="34" t="n">
        <v>357</v>
      </c>
      <c r="B359" s="34" t="inlineStr">
        <is>
          <t>Emmanuella</t>
        </is>
      </c>
      <c r="C359" s="34" t="inlineStr">
        <is>
          <t>Asabere</t>
        </is>
      </c>
      <c r="D359" s="34" t="inlineStr">
        <is>
          <t>University of Nebraska–Lincoln</t>
        </is>
      </c>
      <c r="E359" s="34" t="inlineStr">
        <is>
          <t>Social &amp; Cognitive</t>
        </is>
      </c>
      <c r="F359" s="41" t="inlineStr">
        <is>
          <t>Medium</t>
        </is>
      </c>
      <c r="G359" s="35" t="inlineStr">
        <is>
          <t>High</t>
        </is>
      </c>
      <c r="H359" s="34" t="inlineStr">
        <is>
          <t>easabere2@huskers.unl.edu</t>
        </is>
      </c>
      <c r="I359" s="34" t="inlineStr">
        <is>
          <t>2026-04-02</t>
        </is>
      </c>
      <c r="J359" s="34" t="n"/>
      <c r="K359" s="34" t="inlineStr">
        <is>
          <t>NO</t>
        </is>
      </c>
      <c r="L359" s="36" t="inlineStr">
        <is>
          <t>New Lead</t>
        </is>
      </c>
      <c r="M359" s="34" t="n"/>
      <c r="N359" s="34" t="n"/>
      <c r="O359" s="34" t="n"/>
      <c r="P359" s="34" t="n">
        <v>2500</v>
      </c>
      <c r="Q359" s="34" t="n">
        <v>0</v>
      </c>
      <c r="R359" s="37">
        <f>IF(J359="","",TODAY()-DATE(LEFT(J359,4)*1,MID(J359,6,2)*1,RIGHT(J359,2)*1))</f>
        <v/>
      </c>
    </row>
    <row r="360" ht="18" customHeight="1" s="31">
      <c r="A360" s="38" t="n">
        <v>358</v>
      </c>
      <c r="B360" s="38" t="inlineStr">
        <is>
          <t>Amanda</t>
        </is>
      </c>
      <c r="C360" s="38" t="inlineStr">
        <is>
          <t>Baildon</t>
        </is>
      </c>
      <c r="D360" s="38" t="inlineStr">
        <is>
          <t>University of Nebraska–Lincoln</t>
        </is>
      </c>
      <c r="E360" s="38" t="inlineStr">
        <is>
          <t>Social &amp; Cognitive</t>
        </is>
      </c>
      <c r="F360" s="41" t="inlineStr">
        <is>
          <t>Medium</t>
        </is>
      </c>
      <c r="G360" s="35" t="inlineStr">
        <is>
          <t>High</t>
        </is>
      </c>
      <c r="H360" s="38" t="inlineStr">
        <is>
          <t>abaildon2@huskers.unl.edu</t>
        </is>
      </c>
      <c r="I360" s="38" t="inlineStr">
        <is>
          <t>2026-04-02</t>
        </is>
      </c>
      <c r="J360" s="38" t="n"/>
      <c r="K360" s="38" t="inlineStr">
        <is>
          <t>NO</t>
        </is>
      </c>
      <c r="L360" s="39" t="inlineStr">
        <is>
          <t>New Lead</t>
        </is>
      </c>
      <c r="M360" s="38" t="n"/>
      <c r="N360" s="38" t="n"/>
      <c r="O360" s="38" t="n"/>
      <c r="P360" s="38" t="n">
        <v>2500</v>
      </c>
      <c r="Q360" s="38" t="n">
        <v>0</v>
      </c>
      <c r="R360" s="40">
        <f>IF(J360="","",TODAY()-DATE(LEFT(J360,4)*1,MID(J360,6,2)*1,RIGHT(J360,2)*1))</f>
        <v/>
      </c>
    </row>
    <row r="361" ht="18" customHeight="1" s="31">
      <c r="A361" s="34" t="n">
        <v>359</v>
      </c>
      <c r="B361" s="34" t="inlineStr">
        <is>
          <t>Tess</t>
        </is>
      </c>
      <c r="C361" s="34" t="inlineStr">
        <is>
          <t>Barnes</t>
        </is>
      </c>
      <c r="D361" s="34" t="inlineStr">
        <is>
          <t>University of Nebraska–Lincoln</t>
        </is>
      </c>
      <c r="E361" s="34" t="inlineStr">
        <is>
          <t>Clinical Psychology</t>
        </is>
      </c>
      <c r="F361" s="35" t="inlineStr">
        <is>
          <t>High</t>
        </is>
      </c>
      <c r="G361" s="35" t="inlineStr">
        <is>
          <t>High</t>
        </is>
      </c>
      <c r="H361" s="34" t="inlineStr">
        <is>
          <t>tess.barnes@huskers.unl.edu</t>
        </is>
      </c>
      <c r="I361" s="34" t="inlineStr">
        <is>
          <t>2026-04-02</t>
        </is>
      </c>
      <c r="J361" s="34" t="n"/>
      <c r="K361" s="34" t="inlineStr">
        <is>
          <t>NO</t>
        </is>
      </c>
      <c r="L361" s="36" t="inlineStr">
        <is>
          <t>New Lead</t>
        </is>
      </c>
      <c r="M361" s="34" t="n"/>
      <c r="N361" s="34" t="n"/>
      <c r="O361" s="34" t="n"/>
      <c r="P361" s="34" t="n">
        <v>2500</v>
      </c>
      <c r="Q361" s="34" t="n">
        <v>0</v>
      </c>
      <c r="R361" s="37">
        <f>IF(J361="","",TODAY()-DATE(LEFT(J361,4)*1,MID(J361,6,2)*1,RIGHT(J361,2)*1))</f>
        <v/>
      </c>
    </row>
    <row r="362" ht="18" customHeight="1" s="31">
      <c r="A362" s="38" t="n">
        <v>360</v>
      </c>
      <c r="B362" s="38" t="inlineStr">
        <is>
          <t>Alexa</t>
        </is>
      </c>
      <c r="C362" s="38" t="inlineStr">
        <is>
          <t>Barrett</t>
        </is>
      </c>
      <c r="D362" s="38" t="inlineStr">
        <is>
          <t>University of Nebraska–Lincoln</t>
        </is>
      </c>
      <c r="E362" s="38" t="inlineStr">
        <is>
          <t>Clinical Psychology</t>
        </is>
      </c>
      <c r="F362" s="35" t="inlineStr">
        <is>
          <t>High</t>
        </is>
      </c>
      <c r="G362" s="35" t="inlineStr">
        <is>
          <t>High</t>
        </is>
      </c>
      <c r="H362" s="38" t="inlineStr">
        <is>
          <t>abarrett14@huskers.unl.edu</t>
        </is>
      </c>
      <c r="I362" s="38" t="inlineStr">
        <is>
          <t>2026-04-02</t>
        </is>
      </c>
      <c r="J362" s="38" t="n"/>
      <c r="K362" s="38" t="inlineStr">
        <is>
          <t>NO</t>
        </is>
      </c>
      <c r="L362" s="39" t="inlineStr">
        <is>
          <t>New Lead</t>
        </is>
      </c>
      <c r="M362" s="38" t="n"/>
      <c r="N362" s="38" t="n"/>
      <c r="O362" s="38" t="n"/>
      <c r="P362" s="38" t="n">
        <v>2500</v>
      </c>
      <c r="Q362" s="38" t="n">
        <v>0</v>
      </c>
      <c r="R362" s="40">
        <f>IF(J362="","",TODAY()-DATE(LEFT(J362,4)*1,MID(J362,6,2)*1,RIGHT(J362,2)*1))</f>
        <v/>
      </c>
    </row>
    <row r="363" ht="18" customHeight="1" s="31">
      <c r="A363" s="34" t="n">
        <v>361</v>
      </c>
      <c r="B363" s="34" t="inlineStr">
        <is>
          <t>Logen</t>
        </is>
      </c>
      <c r="C363" s="34" t="inlineStr">
        <is>
          <t>Bartz</t>
        </is>
      </c>
      <c r="D363" s="34" t="inlineStr">
        <is>
          <t>University of Nebraska–Lincoln</t>
        </is>
      </c>
      <c r="E363" s="34" t="inlineStr">
        <is>
          <t>Social/Cognitive &amp; Law</t>
        </is>
      </c>
      <c r="F363" s="41" t="inlineStr">
        <is>
          <t>Medium</t>
        </is>
      </c>
      <c r="G363" s="41" t="inlineStr">
        <is>
          <t>Medium</t>
        </is>
      </c>
      <c r="H363" s="34" t="inlineStr">
        <is>
          <t>logen.bartz@huskers.unl.edu</t>
        </is>
      </c>
      <c r="I363" s="34" t="inlineStr">
        <is>
          <t>2026-04-02</t>
        </is>
      </c>
      <c r="J363" s="34" t="n"/>
      <c r="K363" s="34" t="inlineStr">
        <is>
          <t>NO</t>
        </is>
      </c>
      <c r="L363" s="36" t="inlineStr">
        <is>
          <t>New Lead</t>
        </is>
      </c>
      <c r="M363" s="34" t="n"/>
      <c r="N363" s="34" t="n"/>
      <c r="O363" s="34" t="n"/>
      <c r="P363" s="34" t="n">
        <v>2500</v>
      </c>
      <c r="Q363" s="34" t="n">
        <v>0</v>
      </c>
      <c r="R363" s="37">
        <f>IF(J363="","",TODAY()-DATE(LEFT(J363,4)*1,MID(J363,6,2)*1,RIGHT(J363,2)*1))</f>
        <v/>
      </c>
    </row>
    <row r="364" ht="18" customHeight="1" s="31">
      <c r="A364" s="38" t="n">
        <v>362</v>
      </c>
      <c r="B364" s="38" t="inlineStr">
        <is>
          <t>Rachel</t>
        </is>
      </c>
      <c r="C364" s="38" t="inlineStr">
        <is>
          <t>Beck</t>
        </is>
      </c>
      <c r="D364" s="38" t="inlineStr">
        <is>
          <t>University of Nebraska–Lincoln</t>
        </is>
      </c>
      <c r="E364" s="38" t="inlineStr">
        <is>
          <t>Clinical Psychology</t>
        </is>
      </c>
      <c r="F364" s="35" t="inlineStr">
        <is>
          <t>High</t>
        </is>
      </c>
      <c r="G364" s="35" t="inlineStr">
        <is>
          <t>High</t>
        </is>
      </c>
      <c r="H364" s="38" t="inlineStr">
        <is>
          <t>rbeck10@huskers.unl.edu</t>
        </is>
      </c>
      <c r="I364" s="38" t="inlineStr">
        <is>
          <t>2026-04-02</t>
        </is>
      </c>
      <c r="J364" s="38" t="n"/>
      <c r="K364" s="38" t="inlineStr">
        <is>
          <t>NO</t>
        </is>
      </c>
      <c r="L364" s="39" t="inlineStr">
        <is>
          <t>New Lead</t>
        </is>
      </c>
      <c r="M364" s="38" t="n"/>
      <c r="N364" s="38" t="n"/>
      <c r="O364" s="38" t="n"/>
      <c r="P364" s="38" t="n">
        <v>2500</v>
      </c>
      <c r="Q364" s="38" t="n">
        <v>0</v>
      </c>
      <c r="R364" s="40">
        <f>IF(J364="","",TODAY()-DATE(LEFT(J364,4)*1,MID(J364,6,2)*1,RIGHT(J364,2)*1))</f>
        <v/>
      </c>
    </row>
    <row r="365" ht="18" customHeight="1" s="31">
      <c r="A365" s="34" t="n">
        <v>363</v>
      </c>
      <c r="B365" s="34" t="inlineStr">
        <is>
          <t>Aber</t>
        </is>
      </c>
      <c r="C365" s="34" t="inlineStr">
        <is>
          <t>Abdulle</t>
        </is>
      </c>
      <c r="D365" s="34" t="inlineStr">
        <is>
          <t>University of Michigan</t>
        </is>
      </c>
      <c r="E365" s="34" t="inlineStr">
        <is>
          <t>Personality and Social Contexts</t>
        </is>
      </c>
      <c r="F365" s="41" t="inlineStr">
        <is>
          <t>Medium</t>
        </is>
      </c>
      <c r="G365" s="35" t="inlineStr">
        <is>
          <t>High</t>
        </is>
      </c>
      <c r="H365" s="34" t="inlineStr">
        <is>
          <t>aabdulle@umich.edu</t>
        </is>
      </c>
      <c r="I365" s="34" t="inlineStr">
        <is>
          <t>2026-04-02</t>
        </is>
      </c>
      <c r="J365" s="34" t="n"/>
      <c r="K365" s="34" t="inlineStr">
        <is>
          <t>NO</t>
        </is>
      </c>
      <c r="L365" s="36" t="inlineStr">
        <is>
          <t>New Lead</t>
        </is>
      </c>
      <c r="M365" s="34" t="n"/>
      <c r="N365" s="34" t="n"/>
      <c r="O365" s="34" t="n"/>
      <c r="P365" s="34" t="n">
        <v>2500</v>
      </c>
      <c r="Q365" s="34" t="n">
        <v>0</v>
      </c>
      <c r="R365" s="37">
        <f>IF(J365="","",TODAY()-DATE(LEFT(J365,4)*1,MID(J365,6,2)*1,RIGHT(J365,2)*1))</f>
        <v/>
      </c>
    </row>
    <row r="366" ht="18" customHeight="1" s="31">
      <c r="A366" s="38" t="n">
        <v>364</v>
      </c>
      <c r="B366" s="38" t="inlineStr">
        <is>
          <t>Colton</t>
        </is>
      </c>
      <c r="C366" s="38" t="inlineStr">
        <is>
          <t>Adams</t>
        </is>
      </c>
      <c r="D366" s="38" t="inlineStr">
        <is>
          <t>University of Michigan</t>
        </is>
      </c>
      <c r="E366" s="38" t="inlineStr">
        <is>
          <t>Brain &amp; Behavior</t>
        </is>
      </c>
      <c r="F366" s="35" t="inlineStr">
        <is>
          <t>High</t>
        </is>
      </c>
      <c r="G366" s="35" t="inlineStr">
        <is>
          <t>High</t>
        </is>
      </c>
      <c r="H366" s="38" t="inlineStr">
        <is>
          <t>adamscb@umich.edu</t>
        </is>
      </c>
      <c r="I366" s="38" t="inlineStr">
        <is>
          <t>2026-04-02</t>
        </is>
      </c>
      <c r="J366" s="38" t="n"/>
      <c r="K366" s="38" t="inlineStr">
        <is>
          <t>NO</t>
        </is>
      </c>
      <c r="L366" s="39" t="inlineStr">
        <is>
          <t>New Lead</t>
        </is>
      </c>
      <c r="M366" s="38" t="n"/>
      <c r="N366" s="38" t="n"/>
      <c r="O366" s="38" t="n"/>
      <c r="P366" s="38" t="n">
        <v>2500</v>
      </c>
      <c r="Q366" s="38" t="n">
        <v>0</v>
      </c>
      <c r="R366" s="40">
        <f>IF(J366="","",TODAY()-DATE(LEFT(J366,4)*1,MID(J366,6,2)*1,RIGHT(J366,2)*1))</f>
        <v/>
      </c>
    </row>
    <row r="367" ht="18" customHeight="1" s="31">
      <c r="A367" s="34" t="n">
        <v>365</v>
      </c>
      <c r="B367" s="34" t="inlineStr">
        <is>
          <t>Sydney</t>
        </is>
      </c>
      <c r="C367" s="34" t="inlineStr">
        <is>
          <t>Adams</t>
        </is>
      </c>
      <c r="D367" s="34" t="inlineStr">
        <is>
          <t>University of Michigan</t>
        </is>
      </c>
      <c r="E367" s="34" t="inlineStr">
        <is>
          <t>Clinical Science</t>
        </is>
      </c>
      <c r="F367" s="41" t="inlineStr">
        <is>
          <t>Medium</t>
        </is>
      </c>
      <c r="G367" s="35" t="inlineStr">
        <is>
          <t>High</t>
        </is>
      </c>
      <c r="H367" s="34" t="inlineStr">
        <is>
          <t>sydneyad@umich.edu</t>
        </is>
      </c>
      <c r="I367" s="34" t="inlineStr">
        <is>
          <t>2026-04-02</t>
        </is>
      </c>
      <c r="J367" s="34" t="n"/>
      <c r="K367" s="34" t="inlineStr">
        <is>
          <t>NO</t>
        </is>
      </c>
      <c r="L367" s="36" t="inlineStr">
        <is>
          <t>New Lead</t>
        </is>
      </c>
      <c r="M367" s="34" t="n"/>
      <c r="N367" s="34" t="n"/>
      <c r="O367" s="34" t="n"/>
      <c r="P367" s="34" t="n">
        <v>2500</v>
      </c>
      <c r="Q367" s="34" t="n">
        <v>0</v>
      </c>
      <c r="R367" s="37">
        <f>IF(J367="","",TODAY()-DATE(LEFT(J367,4)*1,MID(J367,6,2)*1,RIGHT(J367,2)*1))</f>
        <v/>
      </c>
    </row>
    <row r="368" ht="18" customHeight="1" s="31">
      <c r="A368" s="38" t="n">
        <v>366</v>
      </c>
      <c r="B368" s="38" t="inlineStr">
        <is>
          <t>Atiya</t>
        </is>
      </c>
      <c r="C368" s="38" t="inlineStr">
        <is>
          <t>Iyaan Addie</t>
        </is>
      </c>
      <c r="D368" s="38" t="inlineStr">
        <is>
          <t>University of Michigan</t>
        </is>
      </c>
      <c r="E368" s="38" t="inlineStr">
        <is>
          <t>Combined Program in Education and Psychology (CPEP)</t>
        </is>
      </c>
      <c r="F368" s="35" t="inlineStr">
        <is>
          <t>High</t>
        </is>
      </c>
      <c r="G368" s="35" t="inlineStr">
        <is>
          <t>High</t>
        </is>
      </c>
      <c r="H368" s="38" t="inlineStr">
        <is>
          <t>atiyaa@umich.edu</t>
        </is>
      </c>
      <c r="I368" s="38" t="inlineStr">
        <is>
          <t>2026-04-02</t>
        </is>
      </c>
      <c r="J368" s="38" t="n"/>
      <c r="K368" s="38" t="inlineStr">
        <is>
          <t>NO</t>
        </is>
      </c>
      <c r="L368" s="39" t="inlineStr">
        <is>
          <t>New Lead</t>
        </is>
      </c>
      <c r="M368" s="38" t="n"/>
      <c r="N368" s="38" t="n"/>
      <c r="O368" s="38" t="n"/>
      <c r="P368" s="38" t="n">
        <v>2500</v>
      </c>
      <c r="Q368" s="38" t="n">
        <v>0</v>
      </c>
      <c r="R368" s="40">
        <f>IF(J368="","",TODAY()-DATE(LEFT(J368,4)*1,MID(J368,6,2)*1,RIGHT(J368,2)*1))</f>
        <v/>
      </c>
    </row>
    <row r="369" ht="18" customHeight="1" s="31">
      <c r="A369" s="34" t="n">
        <v>367</v>
      </c>
      <c r="B369" s="34" t="inlineStr">
        <is>
          <t>Erick</t>
        </is>
      </c>
      <c r="C369" s="34" t="inlineStr">
        <is>
          <t>R. Aguinaldo</t>
        </is>
      </c>
      <c r="D369" s="34" t="inlineStr">
        <is>
          <t>University of Michigan</t>
        </is>
      </c>
      <c r="E369" s="34" t="inlineStr">
        <is>
          <t>Joint Program in Women's and Gender Studies and Personality &amp; Social Contexts</t>
        </is>
      </c>
      <c r="F369" s="41" t="inlineStr">
        <is>
          <t>Medium</t>
        </is>
      </c>
      <c r="G369" s="41" t="inlineStr">
        <is>
          <t>Medium</t>
        </is>
      </c>
      <c r="H369" s="34" t="inlineStr">
        <is>
          <t>aguinald@umich.edu</t>
        </is>
      </c>
      <c r="I369" s="34" t="inlineStr">
        <is>
          <t>2026-04-02</t>
        </is>
      </c>
      <c r="J369" s="34" t="n"/>
      <c r="K369" s="34" t="inlineStr">
        <is>
          <t>NO</t>
        </is>
      </c>
      <c r="L369" s="36" t="inlineStr">
        <is>
          <t>New Lead</t>
        </is>
      </c>
      <c r="M369" s="34" t="n"/>
      <c r="N369" s="34" t="n"/>
      <c r="O369" s="34" t="n"/>
      <c r="P369" s="34" t="n">
        <v>2500</v>
      </c>
      <c r="Q369" s="34" t="n">
        <v>0</v>
      </c>
      <c r="R369" s="37">
        <f>IF(J369="","",TODAY()-DATE(LEFT(J369,4)*1,MID(J369,6,2)*1,RIGHT(J369,2)*1))</f>
        <v/>
      </c>
    </row>
    <row r="370" ht="18" customHeight="1" s="31">
      <c r="A370" s="38" t="n">
        <v>368</v>
      </c>
      <c r="B370" s="38" t="inlineStr">
        <is>
          <t>Isabel</t>
        </is>
      </c>
      <c r="C370" s="38" t="inlineStr">
        <is>
          <t>Aks</t>
        </is>
      </c>
      <c r="D370" s="38" t="inlineStr">
        <is>
          <t>University of Michigan</t>
        </is>
      </c>
      <c r="E370" s="38" t="inlineStr">
        <is>
          <t>Clinical Science</t>
        </is>
      </c>
      <c r="F370" s="41" t="inlineStr">
        <is>
          <t>Medium</t>
        </is>
      </c>
      <c r="G370" s="35" t="inlineStr">
        <is>
          <t>High</t>
        </is>
      </c>
      <c r="H370" s="38" t="inlineStr">
        <is>
          <t>iaks@umich.edu</t>
        </is>
      </c>
      <c r="I370" s="38" t="inlineStr">
        <is>
          <t>2026-04-02</t>
        </is>
      </c>
      <c r="J370" s="38" t="n"/>
      <c r="K370" s="38" t="inlineStr">
        <is>
          <t>NO</t>
        </is>
      </c>
      <c r="L370" s="39" t="inlineStr">
        <is>
          <t>New Lead</t>
        </is>
      </c>
      <c r="M370" s="38" t="n"/>
      <c r="N370" s="38" t="n"/>
      <c r="O370" s="38" t="n"/>
      <c r="P370" s="38" t="n">
        <v>2500</v>
      </c>
      <c r="Q370" s="38" t="n">
        <v>0</v>
      </c>
      <c r="R370" s="40">
        <f>IF(J370="","",TODAY()-DATE(LEFT(J370,4)*1,MID(J370,6,2)*1,RIGHT(J370,2)*1))</f>
        <v/>
      </c>
    </row>
    <row r="371" ht="18" customHeight="1" s="31">
      <c r="A371" s="34" t="n">
        <v>369</v>
      </c>
      <c r="B371" s="34" t="inlineStr">
        <is>
          <t>Myriam</t>
        </is>
      </c>
      <c r="C371" s="34" t="inlineStr">
        <is>
          <t>Al Bcherraoui</t>
        </is>
      </c>
      <c r="D371" s="34" t="inlineStr">
        <is>
          <t>University of Michigan</t>
        </is>
      </c>
      <c r="E371" s="34" t="inlineStr">
        <is>
          <t>Developmental Psychology</t>
        </is>
      </c>
      <c r="F371" s="35" t="inlineStr">
        <is>
          <t>High</t>
        </is>
      </c>
      <c r="G371" s="35" t="inlineStr">
        <is>
          <t>High</t>
        </is>
      </c>
      <c r="H371" s="34" t="inlineStr">
        <is>
          <t>myriamb@umich.edu</t>
        </is>
      </c>
      <c r="I371" s="34" t="inlineStr">
        <is>
          <t>2026-04-02</t>
        </is>
      </c>
      <c r="J371" s="34" t="n"/>
      <c r="K371" s="34" t="inlineStr">
        <is>
          <t>NO</t>
        </is>
      </c>
      <c r="L371" s="36" t="inlineStr">
        <is>
          <t>New Lead</t>
        </is>
      </c>
      <c r="M371" s="34" t="n"/>
      <c r="N371" s="34" t="n"/>
      <c r="O371" s="34" t="n"/>
      <c r="P371" s="34" t="n">
        <v>2500</v>
      </c>
      <c r="Q371" s="34" t="n">
        <v>0</v>
      </c>
      <c r="R371" s="37">
        <f>IF(J371="","",TODAY()-DATE(LEFT(J371,4)*1,MID(J371,6,2)*1,RIGHT(J371,2)*1))</f>
        <v/>
      </c>
    </row>
    <row r="372" ht="18" customHeight="1" s="31">
      <c r="A372" s="38" t="n">
        <v>370</v>
      </c>
      <c r="B372" s="38" t="inlineStr">
        <is>
          <t>Dianna</t>
        </is>
      </c>
      <c r="C372" s="38" t="inlineStr">
        <is>
          <t>Alvarado</t>
        </is>
      </c>
      <c r="D372" s="38" t="inlineStr">
        <is>
          <t>University of Michigan</t>
        </is>
      </c>
      <c r="E372" s="38" t="inlineStr">
        <is>
          <t>Personality and Social Contexts</t>
        </is>
      </c>
      <c r="F372" s="41" t="inlineStr">
        <is>
          <t>Medium</t>
        </is>
      </c>
      <c r="G372" s="35" t="inlineStr">
        <is>
          <t>High</t>
        </is>
      </c>
      <c r="H372" s="38" t="inlineStr">
        <is>
          <t>adianna@umich.edu</t>
        </is>
      </c>
      <c r="I372" s="38" t="inlineStr">
        <is>
          <t>2026-04-02</t>
        </is>
      </c>
      <c r="J372" s="38" t="n"/>
      <c r="K372" s="38" t="inlineStr">
        <is>
          <t>NO</t>
        </is>
      </c>
      <c r="L372" s="39" t="inlineStr">
        <is>
          <t>New Lead</t>
        </is>
      </c>
      <c r="M372" s="38" t="n"/>
      <c r="N372" s="38" t="n"/>
      <c r="O372" s="38" t="n"/>
      <c r="P372" s="38" t="n">
        <v>2500</v>
      </c>
      <c r="Q372" s="38" t="n">
        <v>0</v>
      </c>
      <c r="R372" s="40">
        <f>IF(J372="","",TODAY()-DATE(LEFT(J372,4)*1,MID(J372,6,2)*1,RIGHT(J372,2)*1))</f>
        <v/>
      </c>
    </row>
    <row r="373" ht="18" customHeight="1" s="31">
      <c r="A373" s="34" t="n">
        <v>371</v>
      </c>
      <c r="B373" s="34" t="inlineStr">
        <is>
          <t>Chellam</t>
        </is>
      </c>
      <c r="C373" s="34" t="inlineStr">
        <is>
          <t>(Christine) Antony</t>
        </is>
      </c>
      <c r="D373" s="34" t="inlineStr">
        <is>
          <t>University of Michigan</t>
        </is>
      </c>
      <c r="E373" s="34" t="inlineStr">
        <is>
          <t>Combined Program in Education and Psychology</t>
        </is>
      </c>
      <c r="F373" s="35" t="inlineStr">
        <is>
          <t>High</t>
        </is>
      </c>
      <c r="G373" s="35" t="inlineStr">
        <is>
          <t>High</t>
        </is>
      </c>
      <c r="H373" s="34" t="inlineStr">
        <is>
          <t>cantony@umich.edu</t>
        </is>
      </c>
      <c r="I373" s="34" t="inlineStr">
        <is>
          <t>2026-04-02</t>
        </is>
      </c>
      <c r="J373" s="34" t="n"/>
      <c r="K373" s="34" t="inlineStr">
        <is>
          <t>NO</t>
        </is>
      </c>
      <c r="L373" s="36" t="inlineStr">
        <is>
          <t>New Lead</t>
        </is>
      </c>
      <c r="M373" s="34" t="n"/>
      <c r="N373" s="34" t="n"/>
      <c r="O373" s="34" t="n"/>
      <c r="P373" s="34" t="n">
        <v>2500</v>
      </c>
      <c r="Q373" s="34" t="n">
        <v>0</v>
      </c>
      <c r="R373" s="37">
        <f>IF(J373="","",TODAY()-DATE(LEFT(J373,4)*1,MID(J373,6,2)*1,RIGHT(J373,2)*1))</f>
        <v/>
      </c>
    </row>
    <row r="374" ht="18" customHeight="1" s="31">
      <c r="A374" s="38" t="n">
        <v>372</v>
      </c>
      <c r="B374" s="38" t="inlineStr">
        <is>
          <t>Shayan</t>
        </is>
      </c>
      <c r="C374" s="38" t="inlineStr">
        <is>
          <t>Asadi</t>
        </is>
      </c>
      <c r="D374" s="38" t="inlineStr">
        <is>
          <t>University of Michigan</t>
        </is>
      </c>
      <c r="E374" s="38" t="inlineStr">
        <is>
          <t>Clinical Science</t>
        </is>
      </c>
      <c r="F374" s="41" t="inlineStr">
        <is>
          <t>Medium</t>
        </is>
      </c>
      <c r="G374" s="35" t="inlineStr">
        <is>
          <t>High</t>
        </is>
      </c>
      <c r="H374" s="38" t="inlineStr">
        <is>
          <t>sasadi@umich.edu</t>
        </is>
      </c>
      <c r="I374" s="38" t="inlineStr">
        <is>
          <t>2026-04-02</t>
        </is>
      </c>
      <c r="J374" s="38" t="n"/>
      <c r="K374" s="38" t="inlineStr">
        <is>
          <t>NO</t>
        </is>
      </c>
      <c r="L374" s="39" t="inlineStr">
        <is>
          <t>New Lead</t>
        </is>
      </c>
      <c r="M374" s="38" t="n"/>
      <c r="N374" s="38" t="n"/>
      <c r="O374" s="38" t="n"/>
      <c r="P374" s="38" t="n">
        <v>2500</v>
      </c>
      <c r="Q374" s="38" t="n">
        <v>0</v>
      </c>
      <c r="R374" s="40">
        <f>IF(J374="","",TODAY()-DATE(LEFT(J374,4)*1,MID(J374,6,2)*1,RIGHT(J374,2)*1))</f>
        <v/>
      </c>
    </row>
    <row r="375" ht="18" customHeight="1" s="31">
      <c r="A375" s="34" t="n">
        <v>373</v>
      </c>
      <c r="B375" s="34" t="inlineStr">
        <is>
          <t>Atakan</t>
        </is>
      </c>
      <c r="C375" s="34" t="inlineStr">
        <is>
          <t>Atamer</t>
        </is>
      </c>
      <c r="D375" s="34" t="inlineStr">
        <is>
          <t>University of Michigan</t>
        </is>
      </c>
      <c r="E375" s="34" t="inlineStr">
        <is>
          <t>Cognition and Cognitive Neuroscience</t>
        </is>
      </c>
      <c r="F375" s="41" t="inlineStr">
        <is>
          <t>Medium</t>
        </is>
      </c>
      <c r="G375" s="41" t="inlineStr">
        <is>
          <t>Medium</t>
        </is>
      </c>
      <c r="H375" s="34" t="inlineStr">
        <is>
          <t>atakann@umich.edu</t>
        </is>
      </c>
      <c r="I375" s="34" t="inlineStr">
        <is>
          <t>2026-04-02</t>
        </is>
      </c>
      <c r="J375" s="34" t="n"/>
      <c r="K375" s="34" t="inlineStr">
        <is>
          <t>NO</t>
        </is>
      </c>
      <c r="L375" s="36" t="inlineStr">
        <is>
          <t>New Lead</t>
        </is>
      </c>
      <c r="M375" s="34" t="n"/>
      <c r="N375" s="34" t="n"/>
      <c r="O375" s="34" t="n"/>
      <c r="P375" s="34" t="n">
        <v>2500</v>
      </c>
      <c r="Q375" s="34" t="n">
        <v>0</v>
      </c>
      <c r="R375" s="37">
        <f>IF(J375="","",TODAY()-DATE(LEFT(J375,4)*1,MID(J375,6,2)*1,RIGHT(J375,2)*1))</f>
        <v/>
      </c>
    </row>
    <row r="376" ht="18" customHeight="1" s="31">
      <c r="A376" s="38" t="n">
        <v>374</v>
      </c>
      <c r="B376" s="38" t="inlineStr">
        <is>
          <t>Harini</t>
        </is>
      </c>
      <c r="C376" s="38" t="inlineStr">
        <is>
          <t>Babu</t>
        </is>
      </c>
      <c r="D376" s="38" t="inlineStr">
        <is>
          <t>University of Michigan</t>
        </is>
      </c>
      <c r="E376" s="38" t="inlineStr">
        <is>
          <t>Cognition and Cognitive Neuroscience</t>
        </is>
      </c>
      <c r="F376" s="41" t="inlineStr">
        <is>
          <t>Medium</t>
        </is>
      </c>
      <c r="G376" s="41" t="inlineStr">
        <is>
          <t>Medium</t>
        </is>
      </c>
      <c r="H376" s="38" t="inlineStr">
        <is>
          <t>hariniba@umich.edu</t>
        </is>
      </c>
      <c r="I376" s="38" t="inlineStr">
        <is>
          <t>2026-04-02</t>
        </is>
      </c>
      <c r="J376" s="38" t="n"/>
      <c r="K376" s="38" t="inlineStr">
        <is>
          <t>NO</t>
        </is>
      </c>
      <c r="L376" s="39" t="inlineStr">
        <is>
          <t>New Lead</t>
        </is>
      </c>
      <c r="M376" s="38" t="n"/>
      <c r="N376" s="38" t="n"/>
      <c r="O376" s="38" t="n"/>
      <c r="P376" s="38" t="n">
        <v>2500</v>
      </c>
      <c r="Q376" s="38" t="n">
        <v>0</v>
      </c>
      <c r="R376" s="40">
        <f>IF(J376="","",TODAY()-DATE(LEFT(J376,4)*1,MID(J376,6,2)*1,RIGHT(J376,2)*1))</f>
        <v/>
      </c>
    </row>
    <row r="377" ht="18" customHeight="1" s="31">
      <c r="A377" s="34" t="n">
        <v>375</v>
      </c>
      <c r="B377" s="34" t="inlineStr">
        <is>
          <t>Chayce</t>
        </is>
      </c>
      <c r="C377" s="34" t="inlineStr">
        <is>
          <t>Baldwin</t>
        </is>
      </c>
      <c r="D377" s="34" t="inlineStr">
        <is>
          <t>University of Michigan</t>
        </is>
      </c>
      <c r="E377" s="34" t="inlineStr">
        <is>
          <t>Social Psychology</t>
        </is>
      </c>
      <c r="F377" s="35" t="inlineStr">
        <is>
          <t>High</t>
        </is>
      </c>
      <c r="G377" s="35" t="inlineStr">
        <is>
          <t>High</t>
        </is>
      </c>
      <c r="H377" s="34" t="inlineStr">
        <is>
          <t>cbwin@umich.edu</t>
        </is>
      </c>
      <c r="I377" s="34" t="inlineStr">
        <is>
          <t>2026-04-02</t>
        </is>
      </c>
      <c r="J377" s="34" t="n"/>
      <c r="K377" s="34" t="inlineStr">
        <is>
          <t>NO</t>
        </is>
      </c>
      <c r="L377" s="36" t="inlineStr">
        <is>
          <t>New Lead</t>
        </is>
      </c>
      <c r="M377" s="34" t="n"/>
      <c r="N377" s="34" t="n"/>
      <c r="O377" s="34" t="n"/>
      <c r="P377" s="34" t="n">
        <v>2500</v>
      </c>
      <c r="Q377" s="34" t="n">
        <v>0</v>
      </c>
      <c r="R377" s="37">
        <f>IF(J377="","",TODAY()-DATE(LEFT(J377,4)*1,MID(J377,6,2)*1,RIGHT(J377,2)*1))</f>
        <v/>
      </c>
    </row>
    <row r="378" ht="18" customHeight="1" s="31">
      <c r="A378" s="38" t="n">
        <v>376</v>
      </c>
      <c r="B378" s="38" t="inlineStr">
        <is>
          <t>Jasmine</t>
        </is>
      </c>
      <c r="C378" s="38" t="inlineStr">
        <is>
          <t>Banks</t>
        </is>
      </c>
      <c r="D378" s="38" t="inlineStr">
        <is>
          <t>University of Michigan</t>
        </is>
      </c>
      <c r="E378" s="38" t="inlineStr">
        <is>
          <t>Personality and Social Contexts</t>
        </is>
      </c>
      <c r="F378" s="41" t="inlineStr">
        <is>
          <t>Medium</t>
        </is>
      </c>
      <c r="G378" s="35" t="inlineStr">
        <is>
          <t>High</t>
        </is>
      </c>
      <c r="H378" s="38" t="inlineStr">
        <is>
          <t>jasbanks@umich.edu</t>
        </is>
      </c>
      <c r="I378" s="38" t="inlineStr">
        <is>
          <t>2026-04-02</t>
        </is>
      </c>
      <c r="J378" s="38" t="n"/>
      <c r="K378" s="38" t="inlineStr">
        <is>
          <t>NO</t>
        </is>
      </c>
      <c r="L378" s="39" t="inlineStr">
        <is>
          <t>New Lead</t>
        </is>
      </c>
      <c r="M378" s="38" t="n"/>
      <c r="N378" s="38" t="n"/>
      <c r="O378" s="38" t="n"/>
      <c r="P378" s="38" t="n">
        <v>2500</v>
      </c>
      <c r="Q378" s="38" t="n">
        <v>0</v>
      </c>
      <c r="R378" s="40">
        <f>IF(J378="","",TODAY()-DATE(LEFT(J378,4)*1,MID(J378,6,2)*1,RIGHT(J378,2)*1))</f>
        <v/>
      </c>
    </row>
    <row r="379" ht="18" customHeight="1" s="31">
      <c r="A379" s="34" t="n">
        <v>377</v>
      </c>
      <c r="B379" s="34" t="inlineStr">
        <is>
          <t>Karissa</t>
        </is>
      </c>
      <c r="C379" s="34" t="inlineStr">
        <is>
          <t>Beesley</t>
        </is>
      </c>
      <c r="D379" s="34" t="inlineStr">
        <is>
          <t>University of Michigan</t>
        </is>
      </c>
      <c r="E379" s="34" t="inlineStr">
        <is>
          <t>Personality &amp; Social Contexts</t>
        </is>
      </c>
      <c r="F379" s="41" t="inlineStr">
        <is>
          <t>Medium</t>
        </is>
      </c>
      <c r="G379" s="35" t="inlineStr">
        <is>
          <t>High</t>
        </is>
      </c>
      <c r="H379" s="34" t="inlineStr">
        <is>
          <t>kbeesle@umich.edu</t>
        </is>
      </c>
      <c r="I379" s="34" t="inlineStr">
        <is>
          <t>2026-04-02</t>
        </is>
      </c>
      <c r="J379" s="34" t="n"/>
      <c r="K379" s="34" t="inlineStr">
        <is>
          <t>NO</t>
        </is>
      </c>
      <c r="L379" s="36" t="inlineStr">
        <is>
          <t>New Lead</t>
        </is>
      </c>
      <c r="M379" s="34" t="n"/>
      <c r="N379" s="34" t="n"/>
      <c r="O379" s="34" t="n"/>
      <c r="P379" s="34" t="n">
        <v>2500</v>
      </c>
      <c r="Q379" s="34" t="n">
        <v>0</v>
      </c>
      <c r="R379" s="37">
        <f>IF(J379="","",TODAY()-DATE(LEFT(J379,4)*1,MID(J379,6,2)*1,RIGHT(J379,2)*1))</f>
        <v/>
      </c>
    </row>
    <row r="380" ht="18" customHeight="1" s="31">
      <c r="A380" s="38" t="n">
        <v>378</v>
      </c>
      <c r="B380" s="38" t="inlineStr">
        <is>
          <t>Jessica</t>
        </is>
      </c>
      <c r="C380" s="38" t="inlineStr">
        <is>
          <t>L. Bezek</t>
        </is>
      </c>
      <c r="D380" s="38" t="inlineStr">
        <is>
          <t>University of Michigan</t>
        </is>
      </c>
      <c r="E380" s="38" t="inlineStr">
        <is>
          <t>Clinical Science</t>
        </is>
      </c>
      <c r="F380" s="41" t="inlineStr">
        <is>
          <t>Medium</t>
        </is>
      </c>
      <c r="G380" s="35" t="inlineStr">
        <is>
          <t>High</t>
        </is>
      </c>
      <c r="H380" s="38" t="inlineStr">
        <is>
          <t>jebezek@umich.edu</t>
        </is>
      </c>
      <c r="I380" s="38" t="inlineStr">
        <is>
          <t>2026-04-02</t>
        </is>
      </c>
      <c r="J380" s="38" t="n"/>
      <c r="K380" s="38" t="inlineStr">
        <is>
          <t>NO</t>
        </is>
      </c>
      <c r="L380" s="39" t="inlineStr">
        <is>
          <t>New Lead</t>
        </is>
      </c>
      <c r="M380" s="38" t="n"/>
      <c r="N380" s="38" t="n"/>
      <c r="O380" s="38" t="n"/>
      <c r="P380" s="38" t="n">
        <v>2500</v>
      </c>
      <c r="Q380" s="38" t="n">
        <v>0</v>
      </c>
      <c r="R380" s="40">
        <f>IF(J380="","",TODAY()-DATE(LEFT(J380,4)*1,MID(J380,6,2)*1,RIGHT(J380,2)*1))</f>
        <v/>
      </c>
    </row>
    <row r="381" ht="18" customHeight="1" s="31">
      <c r="A381" s="34" t="n">
        <v>379</v>
      </c>
      <c r="B381" s="34" t="inlineStr">
        <is>
          <t>Anushree</t>
        </is>
      </c>
      <c r="C381" s="34" t="inlineStr">
        <is>
          <t>Bhatia</t>
        </is>
      </c>
      <c r="D381" s="34" t="inlineStr">
        <is>
          <t>University of Michigan</t>
        </is>
      </c>
      <c r="E381" s="34" t="inlineStr">
        <is>
          <t>Combined Program in Education &amp; Psychology (CPEP)</t>
        </is>
      </c>
      <c r="F381" s="35" t="inlineStr">
        <is>
          <t>High</t>
        </is>
      </c>
      <c r="G381" s="35" t="inlineStr">
        <is>
          <t>High</t>
        </is>
      </c>
      <c r="H381" s="34" t="inlineStr">
        <is>
          <t>anbhatia@umich.edu</t>
        </is>
      </c>
      <c r="I381" s="34" t="inlineStr">
        <is>
          <t>2026-04-02</t>
        </is>
      </c>
      <c r="J381" s="34" t="n"/>
      <c r="K381" s="34" t="inlineStr">
        <is>
          <t>NO</t>
        </is>
      </c>
      <c r="L381" s="36" t="inlineStr">
        <is>
          <t>New Lead</t>
        </is>
      </c>
      <c r="M381" s="34" t="n"/>
      <c r="N381" s="34" t="n"/>
      <c r="O381" s="34" t="n"/>
      <c r="P381" s="34" t="n">
        <v>2500</v>
      </c>
      <c r="Q381" s="34" t="n">
        <v>0</v>
      </c>
      <c r="R381" s="37">
        <f>IF(J381="","",TODAY()-DATE(LEFT(J381,4)*1,MID(J381,6,2)*1,RIGHT(J381,2)*1))</f>
        <v/>
      </c>
    </row>
    <row r="382" ht="18" customHeight="1" s="31">
      <c r="A382" s="38" t="n">
        <v>380</v>
      </c>
      <c r="B382" s="38" t="inlineStr">
        <is>
          <t>Chih-An</t>
        </is>
      </c>
      <c r="C382" s="38" t="inlineStr">
        <is>
          <t>Bian</t>
        </is>
      </c>
      <c r="D382" s="38" t="inlineStr">
        <is>
          <t>University of Michigan</t>
        </is>
      </c>
      <c r="E382" s="38" t="inlineStr">
        <is>
          <t>Personality and Social Contexts</t>
        </is>
      </c>
      <c r="F382" s="41" t="inlineStr">
        <is>
          <t>Medium</t>
        </is>
      </c>
      <c r="G382" s="35" t="inlineStr">
        <is>
          <t>High</t>
        </is>
      </c>
      <c r="H382" s="38" t="inlineStr">
        <is>
          <t>cabian@umich.edu</t>
        </is>
      </c>
      <c r="I382" s="38" t="inlineStr">
        <is>
          <t>2026-04-02</t>
        </is>
      </c>
      <c r="J382" s="38" t="n"/>
      <c r="K382" s="38" t="inlineStr">
        <is>
          <t>NO</t>
        </is>
      </c>
      <c r="L382" s="39" t="inlineStr">
        <is>
          <t>New Lead</t>
        </is>
      </c>
      <c r="M382" s="38" t="n"/>
      <c r="N382" s="38" t="n"/>
      <c r="O382" s="38" t="n"/>
      <c r="P382" s="38" t="n">
        <v>2500</v>
      </c>
      <c r="Q382" s="38" t="n">
        <v>0</v>
      </c>
      <c r="R382" s="40">
        <f>IF(J382="","",TODAY()-DATE(LEFT(J382,4)*1,MID(J382,6,2)*1,RIGHT(J382,2)*1))</f>
        <v/>
      </c>
    </row>
    <row r="383" ht="18" customHeight="1" s="31">
      <c r="A383" s="34" t="n">
        <v>381</v>
      </c>
      <c r="B383" s="34" t="inlineStr">
        <is>
          <t>Rachel</t>
        </is>
      </c>
      <c r="C383" s="34" t="inlineStr">
        <is>
          <t>Blood</t>
        </is>
      </c>
      <c r="D383" s="34" t="inlineStr">
        <is>
          <t>University of Michigan</t>
        </is>
      </c>
      <c r="E383" s="34" t="inlineStr">
        <is>
          <t>Biopsychology</t>
        </is>
      </c>
      <c r="F383" s="41" t="inlineStr">
        <is>
          <t>Medium</t>
        </is>
      </c>
      <c r="G383" s="41" t="inlineStr">
        <is>
          <t>Medium</t>
        </is>
      </c>
      <c r="H383" s="34" t="inlineStr">
        <is>
          <t>bloodr@umich.edu</t>
        </is>
      </c>
      <c r="I383" s="34" t="inlineStr">
        <is>
          <t>2026-04-02</t>
        </is>
      </c>
      <c r="J383" s="34" t="n"/>
      <c r="K383" s="34" t="inlineStr">
        <is>
          <t>NO</t>
        </is>
      </c>
      <c r="L383" s="36" t="inlineStr">
        <is>
          <t>New Lead</t>
        </is>
      </c>
      <c r="M383" s="34" t="n"/>
      <c r="N383" s="34" t="n"/>
      <c r="O383" s="34" t="n"/>
      <c r="P383" s="34" t="n">
        <v>2500</v>
      </c>
      <c r="Q383" s="34" t="n">
        <v>0</v>
      </c>
      <c r="R383" s="37">
        <f>IF(J383="","",TODAY()-DATE(LEFT(J383,4)*1,MID(J383,6,2)*1,RIGHT(J383,2)*1))</f>
        <v/>
      </c>
    </row>
    <row r="384" ht="18" customHeight="1" s="31">
      <c r="A384" s="38" t="n">
        <v>382</v>
      </c>
      <c r="B384" s="38" t="inlineStr">
        <is>
          <t>Noa</t>
        </is>
      </c>
      <c r="C384" s="38" t="inlineStr">
        <is>
          <t>Boker Segal</t>
        </is>
      </c>
      <c r="D384" s="38" t="inlineStr">
        <is>
          <t>University of Michigan</t>
        </is>
      </c>
      <c r="E384" s="38" t="inlineStr">
        <is>
          <t>Social Psychology</t>
        </is>
      </c>
      <c r="F384" s="35" t="inlineStr">
        <is>
          <t>High</t>
        </is>
      </c>
      <c r="G384" s="35" t="inlineStr">
        <is>
          <t>High</t>
        </is>
      </c>
      <c r="H384" s="38" t="inlineStr">
        <is>
          <t>noasegal@umich.edu</t>
        </is>
      </c>
      <c r="I384" s="38" t="inlineStr">
        <is>
          <t>2026-04-02</t>
        </is>
      </c>
      <c r="J384" s="38" t="n"/>
      <c r="K384" s="38" t="inlineStr">
        <is>
          <t>NO</t>
        </is>
      </c>
      <c r="L384" s="39" t="inlineStr">
        <is>
          <t>New Lead</t>
        </is>
      </c>
      <c r="M384" s="38" t="n"/>
      <c r="N384" s="38" t="n"/>
      <c r="O384" s="38" t="n"/>
      <c r="P384" s="38" t="n">
        <v>2500</v>
      </c>
      <c r="Q384" s="38" t="n">
        <v>0</v>
      </c>
      <c r="R384" s="40">
        <f>IF(J384="","",TODAY()-DATE(LEFT(J384,4)*1,MID(J384,6,2)*1,RIGHT(J384,2)*1))</f>
        <v/>
      </c>
    </row>
    <row r="385" ht="18" customHeight="1" s="31">
      <c r="A385" s="34" t="n">
        <v>383</v>
      </c>
      <c r="B385" s="34" t="inlineStr">
        <is>
          <t>Paige</t>
        </is>
      </c>
      <c r="C385" s="34" t="inlineStr">
        <is>
          <t>Bost</t>
        </is>
      </c>
      <c r="D385" s="34" t="inlineStr">
        <is>
          <t>University of Michigan</t>
        </is>
      </c>
      <c r="E385" s="34" t="inlineStr">
        <is>
          <t>Combined Program in Education and Psychology (CPEP)</t>
        </is>
      </c>
      <c r="F385" s="35" t="inlineStr">
        <is>
          <t>High</t>
        </is>
      </c>
      <c r="G385" s="35" t="inlineStr">
        <is>
          <t>High</t>
        </is>
      </c>
      <c r="H385" s="34" t="inlineStr">
        <is>
          <t>pbost@umich.edu</t>
        </is>
      </c>
      <c r="I385" s="34" t="inlineStr">
        <is>
          <t>2026-04-02</t>
        </is>
      </c>
      <c r="J385" s="34" t="n"/>
      <c r="K385" s="34" t="inlineStr">
        <is>
          <t>NO</t>
        </is>
      </c>
      <c r="L385" s="36" t="inlineStr">
        <is>
          <t>New Lead</t>
        </is>
      </c>
      <c r="M385" s="34" t="n"/>
      <c r="N385" s="34" t="n"/>
      <c r="O385" s="34" t="n"/>
      <c r="P385" s="34" t="n">
        <v>2500</v>
      </c>
      <c r="Q385" s="34" t="n">
        <v>0</v>
      </c>
      <c r="R385" s="37">
        <f>IF(J385="","",TODAY()-DATE(LEFT(J385,4)*1,MID(J385,6,2)*1,RIGHT(J385,2)*1))</f>
        <v/>
      </c>
    </row>
    <row r="386" ht="18" customHeight="1" s="31">
      <c r="A386" s="38" t="n">
        <v>384</v>
      </c>
      <c r="B386" s="38" t="inlineStr">
        <is>
          <t>Taylor</t>
        </is>
      </c>
      <c r="C386" s="38" t="inlineStr">
        <is>
          <t>Boyd</t>
        </is>
      </c>
      <c r="D386" s="38" t="inlineStr">
        <is>
          <t>University of Michigan</t>
        </is>
      </c>
      <c r="E386" s="38" t="inlineStr">
        <is>
          <t>Developmental Psychology</t>
        </is>
      </c>
      <c r="F386" s="35" t="inlineStr">
        <is>
          <t>High</t>
        </is>
      </c>
      <c r="G386" s="35" t="inlineStr">
        <is>
          <t>High</t>
        </is>
      </c>
      <c r="H386" s="38" t="inlineStr">
        <is>
          <t>tsboyd@umich.edu</t>
        </is>
      </c>
      <c r="I386" s="38" t="inlineStr">
        <is>
          <t>2026-04-02</t>
        </is>
      </c>
      <c r="J386" s="38" t="n"/>
      <c r="K386" s="38" t="inlineStr">
        <is>
          <t>NO</t>
        </is>
      </c>
      <c r="L386" s="39" t="inlineStr">
        <is>
          <t>New Lead</t>
        </is>
      </c>
      <c r="M386" s="38" t="n"/>
      <c r="N386" s="38" t="n"/>
      <c r="O386" s="38" t="n"/>
      <c r="P386" s="38" t="n">
        <v>2500</v>
      </c>
      <c r="Q386" s="38" t="n">
        <v>0</v>
      </c>
      <c r="R386" s="40">
        <f>IF(J386="","",TODAY()-DATE(LEFT(J386,4)*1,MID(J386,6,2)*1,RIGHT(J386,2)*1))</f>
        <v/>
      </c>
    </row>
    <row r="387" ht="18" customHeight="1" s="31">
      <c r="A387" s="34" t="n">
        <v>385</v>
      </c>
      <c r="B387" s="34" t="inlineStr">
        <is>
          <t>Rachel</t>
        </is>
      </c>
      <c r="C387" s="34" t="inlineStr">
        <is>
          <t>Brandon</t>
        </is>
      </c>
      <c r="D387" s="34" t="inlineStr">
        <is>
          <t>University of Michigan</t>
        </is>
      </c>
      <c r="E387" s="34" t="inlineStr">
        <is>
          <t>Joint Program in Social Work and Personality &amp; Social Contexts</t>
        </is>
      </c>
      <c r="F387" s="35" t="inlineStr">
        <is>
          <t>High</t>
        </is>
      </c>
      <c r="G387" s="35" t="inlineStr">
        <is>
          <t>High</t>
        </is>
      </c>
      <c r="H387" s="34" t="inlineStr">
        <is>
          <t>rachbran@umich.edu</t>
        </is>
      </c>
      <c r="I387" s="34" t="inlineStr">
        <is>
          <t>2026-04-02</t>
        </is>
      </c>
      <c r="J387" s="34" t="n"/>
      <c r="K387" s="34" t="inlineStr">
        <is>
          <t>NO</t>
        </is>
      </c>
      <c r="L387" s="36" t="inlineStr">
        <is>
          <t>New Lead</t>
        </is>
      </c>
      <c r="M387" s="34" t="n"/>
      <c r="N387" s="34" t="n"/>
      <c r="O387" s="34" t="n"/>
      <c r="P387" s="34" t="n">
        <v>2500</v>
      </c>
      <c r="Q387" s="34" t="n">
        <v>0</v>
      </c>
      <c r="R387" s="37">
        <f>IF(J387="","",TODAY()-DATE(LEFT(J387,4)*1,MID(J387,6,2)*1,RIGHT(J387,2)*1))</f>
        <v/>
      </c>
    </row>
    <row r="388" ht="18" customHeight="1" s="31">
      <c r="A388" s="38" t="n">
        <v>386</v>
      </c>
      <c r="B388" s="38" t="inlineStr">
        <is>
          <t>Emily</t>
        </is>
      </c>
      <c r="C388" s="38" t="inlineStr">
        <is>
          <t>Briggs</t>
        </is>
      </c>
      <c r="D388" s="38" t="inlineStr">
        <is>
          <t>University of Michigan</t>
        </is>
      </c>
      <c r="E388" s="38" t="inlineStr">
        <is>
          <t>Developmental Psychology</t>
        </is>
      </c>
      <c r="F388" s="35" t="inlineStr">
        <is>
          <t>High</t>
        </is>
      </c>
      <c r="G388" s="35" t="inlineStr">
        <is>
          <t>High</t>
        </is>
      </c>
      <c r="H388" s="38" t="inlineStr">
        <is>
          <t>embriggs@umich.edu</t>
        </is>
      </c>
      <c r="I388" s="38" t="inlineStr">
        <is>
          <t>2026-04-02</t>
        </is>
      </c>
      <c r="J388" s="38" t="n"/>
      <c r="K388" s="38" t="inlineStr">
        <is>
          <t>NO</t>
        </is>
      </c>
      <c r="L388" s="39" t="inlineStr">
        <is>
          <t>New Lead</t>
        </is>
      </c>
      <c r="M388" s="38" t="n"/>
      <c r="N388" s="38" t="n"/>
      <c r="O388" s="38" t="n"/>
      <c r="P388" s="38" t="n">
        <v>2500</v>
      </c>
      <c r="Q388" s="38" t="n">
        <v>0</v>
      </c>
      <c r="R388" s="40">
        <f>IF(J388="","",TODAY()-DATE(LEFT(J388,4)*1,MID(J388,6,2)*1,RIGHT(J388,2)*1))</f>
        <v/>
      </c>
    </row>
    <row r="389" ht="18" customHeight="1" s="31">
      <c r="A389" s="34" t="n">
        <v>387</v>
      </c>
      <c r="B389" s="34" t="inlineStr">
        <is>
          <t>Elizabeth</t>
        </is>
      </c>
      <c r="C389" s="34" t="inlineStr">
        <is>
          <t>Brouns</t>
        </is>
      </c>
      <c r="D389" s="34" t="inlineStr">
        <is>
          <t>University of Michigan</t>
        </is>
      </c>
      <c r="E389" s="34" t="inlineStr">
        <is>
          <t>Brain &amp; Behavior</t>
        </is>
      </c>
      <c r="F389" s="35" t="inlineStr">
        <is>
          <t>High</t>
        </is>
      </c>
      <c r="G389" s="35" t="inlineStr">
        <is>
          <t>High</t>
        </is>
      </c>
      <c r="H389" s="34" t="inlineStr">
        <is>
          <t>ebrouns@umich.edu</t>
        </is>
      </c>
      <c r="I389" s="34" t="inlineStr">
        <is>
          <t>2026-04-02</t>
        </is>
      </c>
      <c r="J389" s="34" t="n"/>
      <c r="K389" s="34" t="inlineStr">
        <is>
          <t>NO</t>
        </is>
      </c>
      <c r="L389" s="36" t="inlineStr">
        <is>
          <t>New Lead</t>
        </is>
      </c>
      <c r="M389" s="34" t="n"/>
      <c r="N389" s="34" t="n"/>
      <c r="O389" s="34" t="n"/>
      <c r="P389" s="34" t="n">
        <v>2500</v>
      </c>
      <c r="Q389" s="34" t="n">
        <v>0</v>
      </c>
      <c r="R389" s="37">
        <f>IF(J389="","",TODAY()-DATE(LEFT(J389,4)*1,MID(J389,6,2)*1,RIGHT(J389,2)*1))</f>
        <v/>
      </c>
    </row>
    <row r="390" ht="18" customHeight="1" s="31">
      <c r="A390" s="38" t="n">
        <v>388</v>
      </c>
      <c r="B390" s="38" t="inlineStr">
        <is>
          <t>Monica</t>
        </is>
      </c>
      <c r="C390" s="38" t="inlineStr">
        <is>
          <t>(Yunke) Cai</t>
        </is>
      </c>
      <c r="D390" s="38" t="inlineStr">
        <is>
          <t>University of Michigan</t>
        </is>
      </c>
      <c r="E390" s="38" t="inlineStr">
        <is>
          <t>Cognition and Cognitive Neuroscience</t>
        </is>
      </c>
      <c r="F390" s="41" t="inlineStr">
        <is>
          <t>Medium</t>
        </is>
      </c>
      <c r="G390" s="41" t="inlineStr">
        <is>
          <t>Medium</t>
        </is>
      </c>
      <c r="H390" s="38" t="inlineStr">
        <is>
          <t>yunkecai@umich.edu</t>
        </is>
      </c>
      <c r="I390" s="38" t="inlineStr">
        <is>
          <t>2026-04-02</t>
        </is>
      </c>
      <c r="J390" s="38" t="n"/>
      <c r="K390" s="38" t="inlineStr">
        <is>
          <t>NO</t>
        </is>
      </c>
      <c r="L390" s="39" t="inlineStr">
        <is>
          <t>New Lead</t>
        </is>
      </c>
      <c r="M390" s="38" t="n"/>
      <c r="N390" s="38" t="n"/>
      <c r="O390" s="38" t="n"/>
      <c r="P390" s="38" t="n">
        <v>2500</v>
      </c>
      <c r="Q390" s="38" t="n">
        <v>0</v>
      </c>
      <c r="R390" s="40">
        <f>IF(J390="","",TODAY()-DATE(LEFT(J390,4)*1,MID(J390,6,2)*1,RIGHT(J390,2)*1))</f>
        <v/>
      </c>
    </row>
    <row r="391" ht="18" customHeight="1" s="31">
      <c r="A391" s="34" t="n">
        <v>389</v>
      </c>
      <c r="B391" s="34" t="inlineStr">
        <is>
          <t>Matt</t>
        </is>
      </c>
      <c r="C391" s="34" t="inlineStr">
        <is>
          <t>(Matthew) Cammarano</t>
        </is>
      </c>
      <c r="D391" s="34" t="inlineStr">
        <is>
          <t>University of Michigan</t>
        </is>
      </c>
      <c r="E391" s="34" t="inlineStr">
        <is>
          <t>Cognition &amp; Cognitive Neuroscience</t>
        </is>
      </c>
      <c r="F391" s="41" t="inlineStr">
        <is>
          <t>Medium</t>
        </is>
      </c>
      <c r="G391" s="41" t="inlineStr">
        <is>
          <t>Medium</t>
        </is>
      </c>
      <c r="H391" s="34" t="inlineStr">
        <is>
          <t>mattcamm@umich.edu</t>
        </is>
      </c>
      <c r="I391" s="34" t="inlineStr">
        <is>
          <t>2026-04-02</t>
        </is>
      </c>
      <c r="J391" s="34" t="n"/>
      <c r="K391" s="34" t="inlineStr">
        <is>
          <t>NO</t>
        </is>
      </c>
      <c r="L391" s="36" t="inlineStr">
        <is>
          <t>New Lead</t>
        </is>
      </c>
      <c r="M391" s="34" t="n"/>
      <c r="N391" s="34" t="n"/>
      <c r="O391" s="34" t="n"/>
      <c r="P391" s="34" t="n">
        <v>2500</v>
      </c>
      <c r="Q391" s="34" t="n">
        <v>0</v>
      </c>
      <c r="R391" s="37">
        <f>IF(J391="","",TODAY()-DATE(LEFT(J391,4)*1,MID(J391,6,2)*1,RIGHT(J391,2)*1))</f>
        <v/>
      </c>
    </row>
    <row r="392" ht="18" customHeight="1" s="31">
      <c r="A392" s="38" t="n">
        <v>390</v>
      </c>
      <c r="B392" s="38" t="inlineStr">
        <is>
          <t>Hanna</t>
        </is>
      </c>
      <c r="C392" s="38" t="inlineStr">
        <is>
          <t>Carmon</t>
        </is>
      </c>
      <c r="D392" s="38" t="inlineStr">
        <is>
          <t>University of Michigan</t>
        </is>
      </c>
      <c r="E392" s="38" t="inlineStr">
        <is>
          <t>Biopsychology</t>
        </is>
      </c>
      <c r="F392" s="41" t="inlineStr">
        <is>
          <t>Medium</t>
        </is>
      </c>
      <c r="G392" s="41" t="inlineStr">
        <is>
          <t>Medium</t>
        </is>
      </c>
      <c r="H392" s="38" t="inlineStr">
        <is>
          <t>hcarmon@umich.edu</t>
        </is>
      </c>
      <c r="I392" s="38" t="inlineStr">
        <is>
          <t>2026-04-02</t>
        </is>
      </c>
      <c r="J392" s="38" t="n"/>
      <c r="K392" s="38" t="inlineStr">
        <is>
          <t>NO</t>
        </is>
      </c>
      <c r="L392" s="39" t="inlineStr">
        <is>
          <t>New Lead</t>
        </is>
      </c>
      <c r="M392" s="38" t="n"/>
      <c r="N392" s="38" t="n"/>
      <c r="O392" s="38" t="n"/>
      <c r="P392" s="38" t="n">
        <v>2500</v>
      </c>
      <c r="Q392" s="38" t="n">
        <v>0</v>
      </c>
      <c r="R392" s="40">
        <f>IF(J392="","",TODAY()-DATE(LEFT(J392,4)*1,MID(J392,6,2)*1,RIGHT(J392,2)*1))</f>
        <v/>
      </c>
    </row>
    <row r="393" ht="18" customHeight="1" s="31">
      <c r="A393" s="34" t="n">
        <v>391</v>
      </c>
      <c r="B393" s="34" t="inlineStr">
        <is>
          <t>Olivia</t>
        </is>
      </c>
      <c r="C393" s="34" t="inlineStr">
        <is>
          <t>D. Chang</t>
        </is>
      </c>
      <c r="D393" s="34" t="inlineStr">
        <is>
          <t>University of Michigan</t>
        </is>
      </c>
      <c r="E393" s="34" t="inlineStr">
        <is>
          <t>Joint Program in Social Work and Developmental Psychology</t>
        </is>
      </c>
      <c r="F393" s="35" t="inlineStr">
        <is>
          <t>High</t>
        </is>
      </c>
      <c r="G393" s="35" t="inlineStr">
        <is>
          <t>High</t>
        </is>
      </c>
      <c r="H393" s="34" t="inlineStr">
        <is>
          <t>ochang@umich.edu</t>
        </is>
      </c>
      <c r="I393" s="34" t="inlineStr">
        <is>
          <t>2026-04-02</t>
        </is>
      </c>
      <c r="J393" s="34" t="n"/>
      <c r="K393" s="34" t="inlineStr">
        <is>
          <t>NO</t>
        </is>
      </c>
      <c r="L393" s="36" t="inlineStr">
        <is>
          <t>New Lead</t>
        </is>
      </c>
      <c r="M393" s="34" t="n"/>
      <c r="N393" s="34" t="n"/>
      <c r="O393" s="34" t="n"/>
      <c r="P393" s="34" t="n">
        <v>2500</v>
      </c>
      <c r="Q393" s="34" t="n">
        <v>0</v>
      </c>
      <c r="R393" s="37">
        <f>IF(J393="","",TODAY()-DATE(LEFT(J393,4)*1,MID(J393,6,2)*1,RIGHT(J393,2)*1))</f>
        <v/>
      </c>
    </row>
    <row r="394" ht="18" customHeight="1" s="31">
      <c r="A394" s="38" t="n">
        <v>392</v>
      </c>
      <c r="B394" s="38" t="inlineStr">
        <is>
          <t>Martha</t>
        </is>
      </c>
      <c r="C394" s="38" t="inlineStr">
        <is>
          <t>Cooper</t>
        </is>
      </c>
      <c r="D394" s="38" t="inlineStr">
        <is>
          <t>University of Michigan</t>
        </is>
      </c>
      <c r="E394" s="38" t="inlineStr">
        <is>
          <t>Social Psychology</t>
        </is>
      </c>
      <c r="F394" s="35" t="inlineStr">
        <is>
          <t>High</t>
        </is>
      </c>
      <c r="G394" s="35" t="inlineStr">
        <is>
          <t>High</t>
        </is>
      </c>
      <c r="H394" s="38" t="inlineStr">
        <is>
          <t>martco@umich.edu</t>
        </is>
      </c>
      <c r="I394" s="38" t="inlineStr">
        <is>
          <t>2026-04-02</t>
        </is>
      </c>
      <c r="J394" s="38" t="n"/>
      <c r="K394" s="38" t="inlineStr">
        <is>
          <t>NO</t>
        </is>
      </c>
      <c r="L394" s="39" t="inlineStr">
        <is>
          <t>New Lead</t>
        </is>
      </c>
      <c r="M394" s="38" t="n"/>
      <c r="N394" s="38" t="n"/>
      <c r="O394" s="38" t="n"/>
      <c r="P394" s="38" t="n">
        <v>2500</v>
      </c>
      <c r="Q394" s="38" t="n">
        <v>0</v>
      </c>
      <c r="R394" s="40">
        <f>IF(J394="","",TODAY()-DATE(LEFT(J394,4)*1,MID(J394,6,2)*1,RIGHT(J394,2)*1))</f>
        <v/>
      </c>
    </row>
    <row r="395" ht="18" customHeight="1" s="31">
      <c r="A395" s="34" t="n">
        <v>393</v>
      </c>
      <c r="B395" s="34" t="inlineStr">
        <is>
          <t>Kallisse</t>
        </is>
      </c>
      <c r="C395" s="34" t="inlineStr">
        <is>
          <t>Dent</t>
        </is>
      </c>
      <c r="D395" s="34" t="inlineStr">
        <is>
          <t>University of Michigan</t>
        </is>
      </c>
      <c r="E395" s="34" t="inlineStr">
        <is>
          <t>Clinical Science</t>
        </is>
      </c>
      <c r="F395" s="41" t="inlineStr">
        <is>
          <t>Medium</t>
        </is>
      </c>
      <c r="G395" s="35" t="inlineStr">
        <is>
          <t>High</t>
        </is>
      </c>
      <c r="H395" s="34" t="inlineStr">
        <is>
          <t>dentkr@umich.edu</t>
        </is>
      </c>
      <c r="I395" s="34" t="inlineStr">
        <is>
          <t>2026-04-02</t>
        </is>
      </c>
      <c r="J395" s="34" t="n"/>
      <c r="K395" s="34" t="inlineStr">
        <is>
          <t>NO</t>
        </is>
      </c>
      <c r="L395" s="36" t="inlineStr">
        <is>
          <t>New Lead</t>
        </is>
      </c>
      <c r="M395" s="34" t="n"/>
      <c r="N395" s="34" t="n"/>
      <c r="O395" s="34" t="n"/>
      <c r="P395" s="34" t="n">
        <v>2500</v>
      </c>
      <c r="Q395" s="34" t="n">
        <v>0</v>
      </c>
      <c r="R395" s="37">
        <f>IF(J395="","",TODAY()-DATE(LEFT(J395,4)*1,MID(J395,6,2)*1,RIGHT(J395,2)*1))</f>
        <v/>
      </c>
    </row>
    <row r="396" ht="18" customHeight="1" s="31">
      <c r="A396" s="38" t="n">
        <v>394</v>
      </c>
      <c r="B396" s="38" t="inlineStr">
        <is>
          <t>Emily</t>
        </is>
      </c>
      <c r="C396" s="38" t="inlineStr">
        <is>
          <t>Diamond</t>
        </is>
      </c>
      <c r="D396" s="38" t="inlineStr">
        <is>
          <t>University of Michigan</t>
        </is>
      </c>
      <c r="E396" s="38" t="inlineStr">
        <is>
          <t>Social Psychology</t>
        </is>
      </c>
      <c r="F396" s="35" t="inlineStr">
        <is>
          <t>High</t>
        </is>
      </c>
      <c r="G396" s="35" t="inlineStr">
        <is>
          <t>High</t>
        </is>
      </c>
      <c r="H396" s="38" t="inlineStr">
        <is>
          <t>emilydia@umich.edu</t>
        </is>
      </c>
      <c r="I396" s="38" t="inlineStr">
        <is>
          <t>2026-04-02</t>
        </is>
      </c>
      <c r="J396" s="38" t="n"/>
      <c r="K396" s="38" t="inlineStr">
        <is>
          <t>NO</t>
        </is>
      </c>
      <c r="L396" s="39" t="inlineStr">
        <is>
          <t>New Lead</t>
        </is>
      </c>
      <c r="M396" s="38" t="n"/>
      <c r="N396" s="38" t="n"/>
      <c r="O396" s="38" t="n"/>
      <c r="P396" s="38" t="n">
        <v>2500</v>
      </c>
      <c r="Q396" s="38" t="n">
        <v>0</v>
      </c>
      <c r="R396" s="40">
        <f>IF(J396="","",TODAY()-DATE(LEFT(J396,4)*1,MID(J396,6,2)*1,RIGHT(J396,2)*1))</f>
        <v/>
      </c>
    </row>
    <row r="397" ht="18" customHeight="1" s="31">
      <c r="A397" s="34" t="n">
        <v>395</v>
      </c>
      <c r="B397" s="34" t="inlineStr">
        <is>
          <t>Becky</t>
        </is>
      </c>
      <c r="C397" s="34" t="inlineStr">
        <is>
          <t>Dileo</t>
        </is>
      </c>
      <c r="D397" s="34" t="inlineStr">
        <is>
          <t>University of Michigan</t>
        </is>
      </c>
      <c r="E397" s="34" t="inlineStr">
        <is>
          <t>Personality and Social Contexts</t>
        </is>
      </c>
      <c r="F397" s="41" t="inlineStr">
        <is>
          <t>Medium</t>
        </is>
      </c>
      <c r="G397" s="35" t="inlineStr">
        <is>
          <t>High</t>
        </is>
      </c>
      <c r="H397" s="34" t="inlineStr">
        <is>
          <t>rdileo@umich.edu</t>
        </is>
      </c>
      <c r="I397" s="34" t="inlineStr">
        <is>
          <t>2026-04-02</t>
        </is>
      </c>
      <c r="J397" s="34" t="n"/>
      <c r="K397" s="34" t="inlineStr">
        <is>
          <t>NO</t>
        </is>
      </c>
      <c r="L397" s="36" t="inlineStr">
        <is>
          <t>New Lead</t>
        </is>
      </c>
      <c r="M397" s="34" t="n"/>
      <c r="N397" s="34" t="n"/>
      <c r="O397" s="34" t="n"/>
      <c r="P397" s="34" t="n">
        <v>2500</v>
      </c>
      <c r="Q397" s="34" t="n">
        <v>0</v>
      </c>
      <c r="R397" s="37">
        <f>IF(J397="","",TODAY()-DATE(LEFT(J397,4)*1,MID(J397,6,2)*1,RIGHT(J397,2)*1))</f>
        <v/>
      </c>
    </row>
    <row r="398" ht="18" customHeight="1" s="31">
      <c r="A398" s="38" t="n">
        <v>396</v>
      </c>
      <c r="B398" s="38" t="inlineStr">
        <is>
          <t>Eryn</t>
        </is>
      </c>
      <c r="C398" s="38" t="inlineStr">
        <is>
          <t>Donovan</t>
        </is>
      </c>
      <c r="D398" s="38" t="inlineStr">
        <is>
          <t>University of Michigan</t>
        </is>
      </c>
      <c r="E398" s="38" t="inlineStr">
        <is>
          <t>Biopsychology</t>
        </is>
      </c>
      <c r="F398" s="41" t="inlineStr">
        <is>
          <t>Medium</t>
        </is>
      </c>
      <c r="G398" s="41" t="inlineStr">
        <is>
          <t>Medium</t>
        </is>
      </c>
      <c r="H398" s="38" t="inlineStr">
        <is>
          <t>donovaen@umich.edu</t>
        </is>
      </c>
      <c r="I398" s="38" t="inlineStr">
        <is>
          <t>2026-04-02</t>
        </is>
      </c>
      <c r="J398" s="38" t="n"/>
      <c r="K398" s="38" t="inlineStr">
        <is>
          <t>NO</t>
        </is>
      </c>
      <c r="L398" s="39" t="inlineStr">
        <is>
          <t>New Lead</t>
        </is>
      </c>
      <c r="M398" s="38" t="n"/>
      <c r="N398" s="38" t="n"/>
      <c r="O398" s="38" t="n"/>
      <c r="P398" s="38" t="n">
        <v>2500</v>
      </c>
      <c r="Q398" s="38" t="n">
        <v>0</v>
      </c>
      <c r="R398" s="40">
        <f>IF(J398="","",TODAY()-DATE(LEFT(J398,4)*1,MID(J398,6,2)*1,RIGHT(J398,2)*1))</f>
        <v/>
      </c>
    </row>
    <row r="399" ht="18" customHeight="1" s="31">
      <c r="A399" s="34" t="n">
        <v>397</v>
      </c>
      <c r="B399" s="34" t="inlineStr">
        <is>
          <t>Matthew</t>
        </is>
      </c>
      <c r="C399" s="34" t="inlineStr">
        <is>
          <t>Dunaway</t>
        </is>
      </c>
      <c r="D399" s="34" t="inlineStr">
        <is>
          <t>University of Michigan</t>
        </is>
      </c>
      <c r="E399" s="34" t="inlineStr">
        <is>
          <t>Cognition and Cognitive Neuroscience</t>
        </is>
      </c>
      <c r="F399" s="41" t="inlineStr">
        <is>
          <t>Medium</t>
        </is>
      </c>
      <c r="G399" s="41" t="inlineStr">
        <is>
          <t>Medium</t>
        </is>
      </c>
      <c r="H399" s="34" t="inlineStr">
        <is>
          <t>mdunawa@umich.edu</t>
        </is>
      </c>
      <c r="I399" s="34" t="inlineStr">
        <is>
          <t>2026-04-02</t>
        </is>
      </c>
      <c r="J399" s="34" t="n"/>
      <c r="K399" s="34" t="inlineStr">
        <is>
          <t>NO</t>
        </is>
      </c>
      <c r="L399" s="36" t="inlineStr">
        <is>
          <t>New Lead</t>
        </is>
      </c>
      <c r="M399" s="34" t="n"/>
      <c r="N399" s="34" t="n"/>
      <c r="O399" s="34" t="n"/>
      <c r="P399" s="34" t="n">
        <v>2500</v>
      </c>
      <c r="Q399" s="34" t="n">
        <v>0</v>
      </c>
      <c r="R399" s="37">
        <f>IF(J399="","",TODAY()-DATE(LEFT(J399,4)*1,MID(J399,6,2)*1,RIGHT(J399,2)*1))</f>
        <v/>
      </c>
    </row>
    <row r="400" ht="18" customHeight="1" s="31">
      <c r="A400" s="38" t="n">
        <v>398</v>
      </c>
      <c r="B400" s="38" t="inlineStr">
        <is>
          <t>Haneen</t>
        </is>
      </c>
      <c r="C400" s="38" t="inlineStr">
        <is>
          <t>Eldiri</t>
        </is>
      </c>
      <c r="D400" s="38" t="inlineStr">
        <is>
          <t>University of Michigan</t>
        </is>
      </c>
      <c r="E400" s="38" t="inlineStr">
        <is>
          <t>Personality and Social Contexts</t>
        </is>
      </c>
      <c r="F400" s="41" t="inlineStr">
        <is>
          <t>Medium</t>
        </is>
      </c>
      <c r="G400" s="35" t="inlineStr">
        <is>
          <t>High</t>
        </is>
      </c>
      <c r="H400" s="38" t="inlineStr">
        <is>
          <t>eldiri@umich.edu</t>
        </is>
      </c>
      <c r="I400" s="38" t="inlineStr">
        <is>
          <t>2026-04-02</t>
        </is>
      </c>
      <c r="J400" s="38" t="n"/>
      <c r="K400" s="38" t="inlineStr">
        <is>
          <t>NO</t>
        </is>
      </c>
      <c r="L400" s="39" t="inlineStr">
        <is>
          <t>New Lead</t>
        </is>
      </c>
      <c r="M400" s="38" t="n"/>
      <c r="N400" s="38" t="n"/>
      <c r="O400" s="38" t="n"/>
      <c r="P400" s="38" t="n">
        <v>2500</v>
      </c>
      <c r="Q400" s="38" t="n">
        <v>0</v>
      </c>
      <c r="R400" s="40">
        <f>IF(J400="","",TODAY()-DATE(LEFT(J400,4)*1,MID(J400,6,2)*1,RIGHT(J400,2)*1))</f>
        <v/>
      </c>
    </row>
    <row r="401" ht="18" customHeight="1" s="31">
      <c r="A401" s="34" t="n">
        <v>399</v>
      </c>
      <c r="B401" s="34" t="inlineStr">
        <is>
          <t>Jim</t>
        </is>
      </c>
      <c r="C401" s="34" t="inlineStr">
        <is>
          <t>Faulkner</t>
        </is>
      </c>
      <c r="D401" s="34" t="inlineStr">
        <is>
          <t>University of Michigan</t>
        </is>
      </c>
      <c r="E401" s="34" t="inlineStr">
        <is>
          <t>Cognition and Cognitive Neuroscience</t>
        </is>
      </c>
      <c r="F401" s="41" t="inlineStr">
        <is>
          <t>Medium</t>
        </is>
      </c>
      <c r="G401" s="41" t="inlineStr">
        <is>
          <t>Medium</t>
        </is>
      </c>
      <c r="H401" s="34" t="inlineStr">
        <is>
          <t>jimf@umich.edu</t>
        </is>
      </c>
      <c r="I401" s="34" t="inlineStr">
        <is>
          <t>2026-04-02</t>
        </is>
      </c>
      <c r="J401" s="34" t="n"/>
      <c r="K401" s="34" t="inlineStr">
        <is>
          <t>NO</t>
        </is>
      </c>
      <c r="L401" s="36" t="inlineStr">
        <is>
          <t>New Lead</t>
        </is>
      </c>
      <c r="M401" s="34" t="n"/>
      <c r="N401" s="34" t="n"/>
      <c r="O401" s="34" t="n"/>
      <c r="P401" s="34" t="n">
        <v>2500</v>
      </c>
      <c r="Q401" s="34" t="n">
        <v>0</v>
      </c>
      <c r="R401" s="37">
        <f>IF(J401="","",TODAY()-DATE(LEFT(J401,4)*1,MID(J401,6,2)*1,RIGHT(J401,2)*1))</f>
        <v/>
      </c>
    </row>
    <row r="402" ht="18" customHeight="1" s="31">
      <c r="A402" s="38" t="n">
        <v>400</v>
      </c>
      <c r="B402" s="38" t="inlineStr">
        <is>
          <t>Matthew</t>
        </is>
      </c>
      <c r="C402" s="38" t="inlineStr">
        <is>
          <t>Flics</t>
        </is>
      </c>
      <c r="D402" s="38" t="inlineStr">
        <is>
          <t>University of Michigan</t>
        </is>
      </c>
      <c r="E402" s="38" t="inlineStr">
        <is>
          <t>Clinical Science</t>
        </is>
      </c>
      <c r="F402" s="41" t="inlineStr">
        <is>
          <t>Medium</t>
        </is>
      </c>
      <c r="G402" s="35" t="inlineStr">
        <is>
          <t>High</t>
        </is>
      </c>
      <c r="H402" s="38" t="inlineStr">
        <is>
          <t>mflics@umich.edu</t>
        </is>
      </c>
      <c r="I402" s="38" t="inlineStr">
        <is>
          <t>2026-04-02</t>
        </is>
      </c>
      <c r="J402" s="38" t="n"/>
      <c r="K402" s="38" t="inlineStr">
        <is>
          <t>NO</t>
        </is>
      </c>
      <c r="L402" s="39" t="inlineStr">
        <is>
          <t>New Lead</t>
        </is>
      </c>
      <c r="M402" s="38" t="n"/>
      <c r="N402" s="38" t="n"/>
      <c r="O402" s="38" t="n"/>
      <c r="P402" s="38" t="n">
        <v>2500</v>
      </c>
      <c r="Q402" s="38" t="n">
        <v>0</v>
      </c>
      <c r="R402" s="40">
        <f>IF(J402="","",TODAY()-DATE(LEFT(J402,4)*1,MID(J402,6,2)*1,RIGHT(J402,2)*1))</f>
        <v/>
      </c>
    </row>
    <row r="403" ht="18" customHeight="1" s="31">
      <c r="A403" s="34" t="n">
        <v>401</v>
      </c>
      <c r="B403" s="34" t="inlineStr">
        <is>
          <t>Coreena</t>
        </is>
      </c>
      <c r="C403" s="34" t="inlineStr">
        <is>
          <t>Forstner</t>
        </is>
      </c>
      <c r="D403" s="34" t="inlineStr">
        <is>
          <t>University of Michigan</t>
        </is>
      </c>
      <c r="E403" s="34" t="inlineStr">
        <is>
          <t>Joint Program in Social Work and Clinical Science</t>
        </is>
      </c>
      <c r="F403" s="35" t="inlineStr">
        <is>
          <t>High</t>
        </is>
      </c>
      <c r="G403" s="35" t="inlineStr">
        <is>
          <t>High</t>
        </is>
      </c>
      <c r="H403" s="34" t="inlineStr">
        <is>
          <t>cforstn@umich.edu</t>
        </is>
      </c>
      <c r="I403" s="34" t="inlineStr">
        <is>
          <t>2026-04-02</t>
        </is>
      </c>
      <c r="J403" s="34" t="n"/>
      <c r="K403" s="34" t="inlineStr">
        <is>
          <t>NO</t>
        </is>
      </c>
      <c r="L403" s="36" t="inlineStr">
        <is>
          <t>New Lead</t>
        </is>
      </c>
      <c r="M403" s="34" t="n"/>
      <c r="N403" s="34" t="n"/>
      <c r="O403" s="34" t="n"/>
      <c r="P403" s="34" t="n">
        <v>2500</v>
      </c>
      <c r="Q403" s="34" t="n">
        <v>0</v>
      </c>
      <c r="R403" s="37">
        <f>IF(J403="","",TODAY()-DATE(LEFT(J403,4)*1,MID(J403,6,2)*1,RIGHT(J403,2)*1))</f>
        <v/>
      </c>
    </row>
    <row r="404" ht="18" customHeight="1" s="31">
      <c r="A404" s="38" t="n">
        <v>402</v>
      </c>
      <c r="B404" s="38" t="inlineStr">
        <is>
          <t>Annika</t>
        </is>
      </c>
      <c r="C404" s="38" t="inlineStr">
        <is>
          <t>From</t>
        </is>
      </c>
      <c r="D404" s="38" t="inlineStr">
        <is>
          <t>University of Michigan</t>
        </is>
      </c>
      <c r="E404" s="38" t="inlineStr">
        <is>
          <t>in Personality and Social Contexts</t>
        </is>
      </c>
      <c r="F404" s="41" t="inlineStr">
        <is>
          <t>Medium</t>
        </is>
      </c>
      <c r="G404" s="41" t="inlineStr">
        <is>
          <t>Medium</t>
        </is>
      </c>
      <c r="H404" s="38" t="inlineStr">
        <is>
          <t>annikaf@umich.edu</t>
        </is>
      </c>
      <c r="I404" s="38" t="inlineStr">
        <is>
          <t>2026-04-02</t>
        </is>
      </c>
      <c r="J404" s="38" t="n"/>
      <c r="K404" s="38" t="inlineStr">
        <is>
          <t>NO</t>
        </is>
      </c>
      <c r="L404" s="39" t="inlineStr">
        <is>
          <t>New Lead</t>
        </is>
      </c>
      <c r="M404" s="38" t="n"/>
      <c r="N404" s="38" t="n"/>
      <c r="O404" s="38" t="n"/>
      <c r="P404" s="38" t="n">
        <v>2500</v>
      </c>
      <c r="Q404" s="38" t="n">
        <v>0</v>
      </c>
      <c r="R404" s="40">
        <f>IF(J404="","",TODAY()-DATE(LEFT(J404,4)*1,MID(J404,6,2)*1,RIGHT(J404,2)*1))</f>
        <v/>
      </c>
    </row>
    <row r="405" ht="18" customHeight="1" s="31">
      <c r="A405" s="34" t="n">
        <v>403</v>
      </c>
      <c r="B405" s="34" t="inlineStr">
        <is>
          <t>Cheyenne</t>
        </is>
      </c>
      <c r="C405" s="34" t="inlineStr">
        <is>
          <t>Garcia</t>
        </is>
      </c>
      <c r="D405" s="34" t="inlineStr">
        <is>
          <t>University of Michigan</t>
        </is>
      </c>
      <c r="E405" s="34" t="inlineStr">
        <is>
          <t>Developmental Psychology</t>
        </is>
      </c>
      <c r="F405" s="35" t="inlineStr">
        <is>
          <t>High</t>
        </is>
      </c>
      <c r="G405" s="35" t="inlineStr">
        <is>
          <t>High</t>
        </is>
      </c>
      <c r="H405" s="34" t="inlineStr">
        <is>
          <t>cheymgar@umich.edu</t>
        </is>
      </c>
      <c r="I405" s="34" t="inlineStr">
        <is>
          <t>2026-04-02</t>
        </is>
      </c>
      <c r="J405" s="34" t="n"/>
      <c r="K405" s="34" t="inlineStr">
        <is>
          <t>NO</t>
        </is>
      </c>
      <c r="L405" s="36" t="inlineStr">
        <is>
          <t>New Lead</t>
        </is>
      </c>
      <c r="M405" s="34" t="n"/>
      <c r="N405" s="34" t="n"/>
      <c r="O405" s="34" t="n"/>
      <c r="P405" s="34" t="n">
        <v>2500</v>
      </c>
      <c r="Q405" s="34" t="n">
        <v>0</v>
      </c>
      <c r="R405" s="37">
        <f>IF(J405="","",TODAY()-DATE(LEFT(J405,4)*1,MID(J405,6,2)*1,RIGHT(J405,2)*1))</f>
        <v/>
      </c>
    </row>
    <row r="406" ht="18" customHeight="1" s="31">
      <c r="A406" s="38" t="n">
        <v>404</v>
      </c>
      <c r="B406" s="38" t="inlineStr">
        <is>
          <t>Nicki</t>
        </is>
      </c>
      <c r="C406" s="38" t="inlineStr">
        <is>
          <t>Guisneuf</t>
        </is>
      </c>
      <c r="D406" s="38" t="inlineStr">
        <is>
          <t>University of Michigan</t>
        </is>
      </c>
      <c r="E406" s="38" t="inlineStr">
        <is>
          <t>Biopsychology</t>
        </is>
      </c>
      <c r="F406" s="41" t="inlineStr">
        <is>
          <t>Medium</t>
        </is>
      </c>
      <c r="G406" s="41" t="inlineStr">
        <is>
          <t>Medium</t>
        </is>
      </c>
      <c r="H406" s="38" t="inlineStr">
        <is>
          <t>nickigui@umich.edu</t>
        </is>
      </c>
      <c r="I406" s="38" t="inlineStr">
        <is>
          <t>2026-04-02</t>
        </is>
      </c>
      <c r="J406" s="38" t="n"/>
      <c r="K406" s="38" t="inlineStr">
        <is>
          <t>NO</t>
        </is>
      </c>
      <c r="L406" s="39" t="inlineStr">
        <is>
          <t>New Lead</t>
        </is>
      </c>
      <c r="M406" s="38" t="n"/>
      <c r="N406" s="38" t="n"/>
      <c r="O406" s="38" t="n"/>
      <c r="P406" s="38" t="n">
        <v>2500</v>
      </c>
      <c r="Q406" s="38" t="n">
        <v>0</v>
      </c>
      <c r="R406" s="40">
        <f>IF(J406="","",TODAY()-DATE(LEFT(J406,4)*1,MID(J406,6,2)*1,RIGHT(J406,2)*1))</f>
        <v/>
      </c>
    </row>
    <row r="407" ht="18" customHeight="1" s="31">
      <c r="A407" s="34" t="n">
        <v>405</v>
      </c>
      <c r="B407" s="34" t="inlineStr">
        <is>
          <t>Yuqi</t>
        </is>
      </c>
      <c r="C407" s="34" t="inlineStr">
        <is>
          <t>(Ruby) Guo</t>
        </is>
      </c>
      <c r="D407" s="34" t="inlineStr">
        <is>
          <t>University of Michigan</t>
        </is>
      </c>
      <c r="E407" s="34" t="inlineStr">
        <is>
          <t>Brain &amp; Behavior</t>
        </is>
      </c>
      <c r="F407" s="35" t="inlineStr">
        <is>
          <t>High</t>
        </is>
      </c>
      <c r="G407" s="35" t="inlineStr">
        <is>
          <t>High</t>
        </is>
      </c>
      <c r="H407" s="34" t="inlineStr">
        <is>
          <t>yrguo@umich.edu</t>
        </is>
      </c>
      <c r="I407" s="34" t="inlineStr">
        <is>
          <t>2026-04-02</t>
        </is>
      </c>
      <c r="J407" s="34" t="n"/>
      <c r="K407" s="34" t="inlineStr">
        <is>
          <t>NO</t>
        </is>
      </c>
      <c r="L407" s="36" t="inlineStr">
        <is>
          <t>New Lead</t>
        </is>
      </c>
      <c r="M407" s="34" t="n"/>
      <c r="N407" s="34" t="n"/>
      <c r="O407" s="34" t="n"/>
      <c r="P407" s="34" t="n">
        <v>2500</v>
      </c>
      <c r="Q407" s="34" t="n">
        <v>0</v>
      </c>
      <c r="R407" s="37">
        <f>IF(J407="","",TODAY()-DATE(LEFT(J407,4)*1,MID(J407,6,2)*1,RIGHT(J407,2)*1))</f>
        <v/>
      </c>
    </row>
    <row r="408" ht="18" customHeight="1" s="31">
      <c r="A408" s="38" t="n">
        <v>406</v>
      </c>
      <c r="B408" s="38" t="inlineStr">
        <is>
          <t>Lindzey</t>
        </is>
      </c>
      <c r="C408" s="38" t="inlineStr">
        <is>
          <t>Hoover</t>
        </is>
      </c>
      <c r="D408" s="38" t="inlineStr">
        <is>
          <t>University of Michigan</t>
        </is>
      </c>
      <c r="E408" s="38" t="inlineStr">
        <is>
          <t>Clinical Science</t>
        </is>
      </c>
      <c r="F408" s="41" t="inlineStr">
        <is>
          <t>Medium</t>
        </is>
      </c>
      <c r="G408" s="35" t="inlineStr">
        <is>
          <t>High</t>
        </is>
      </c>
      <c r="H408" s="38" t="inlineStr">
        <is>
          <t>lindzeyh@umich.edu</t>
        </is>
      </c>
      <c r="I408" s="38" t="inlineStr">
        <is>
          <t>2026-04-02</t>
        </is>
      </c>
      <c r="J408" s="38" t="n"/>
      <c r="K408" s="38" t="inlineStr">
        <is>
          <t>NO</t>
        </is>
      </c>
      <c r="L408" s="39" t="inlineStr">
        <is>
          <t>New Lead</t>
        </is>
      </c>
      <c r="M408" s="38" t="n"/>
      <c r="N408" s="38" t="n"/>
      <c r="O408" s="38" t="n"/>
      <c r="P408" s="38" t="n">
        <v>2500</v>
      </c>
      <c r="Q408" s="38" t="n">
        <v>0</v>
      </c>
      <c r="R408" s="40">
        <f>IF(J408="","",TODAY()-DATE(LEFT(J408,4)*1,MID(J408,6,2)*1,RIGHT(J408,2)*1))</f>
        <v/>
      </c>
    </row>
    <row r="409" ht="18" customHeight="1" s="31">
      <c r="A409" s="34" t="n">
        <v>407</v>
      </c>
      <c r="B409" s="34" t="inlineStr">
        <is>
          <t>Xavier</t>
        </is>
      </c>
      <c r="C409" s="34" t="inlineStr">
        <is>
          <t>James</t>
        </is>
      </c>
      <c r="D409" s="34" t="inlineStr">
        <is>
          <t>University of Michigan</t>
        </is>
      </c>
      <c r="E409" s="34" t="inlineStr">
        <is>
          <t>Social Psychology</t>
        </is>
      </c>
      <c r="F409" s="35" t="inlineStr">
        <is>
          <t>High</t>
        </is>
      </c>
      <c r="G409" s="35" t="inlineStr">
        <is>
          <t>High</t>
        </is>
      </c>
      <c r="H409" s="34" t="inlineStr">
        <is>
          <t>jamesdx@umich.edu</t>
        </is>
      </c>
      <c r="I409" s="34" t="inlineStr">
        <is>
          <t>2026-04-02</t>
        </is>
      </c>
      <c r="J409" s="34" t="n"/>
      <c r="K409" s="34" t="inlineStr">
        <is>
          <t>NO</t>
        </is>
      </c>
      <c r="L409" s="36" t="inlineStr">
        <is>
          <t>New Lead</t>
        </is>
      </c>
      <c r="M409" s="34" t="n"/>
      <c r="N409" s="34" t="n"/>
      <c r="O409" s="34" t="n"/>
      <c r="P409" s="34" t="n">
        <v>2500</v>
      </c>
      <c r="Q409" s="34" t="n">
        <v>0</v>
      </c>
      <c r="R409" s="37">
        <f>IF(J409="","",TODAY()-DATE(LEFT(J409,4)*1,MID(J409,6,2)*1,RIGHT(J409,2)*1))</f>
        <v/>
      </c>
    </row>
    <row r="410" ht="18" customHeight="1" s="31">
      <c r="A410" s="38" t="n">
        <v>408</v>
      </c>
      <c r="B410" s="38" t="inlineStr">
        <is>
          <t>Natasha</t>
        </is>
      </c>
      <c r="C410" s="38" t="inlineStr">
        <is>
          <t>Jones</t>
        </is>
      </c>
      <c r="D410" s="38" t="inlineStr">
        <is>
          <t>University of Michigan</t>
        </is>
      </c>
      <c r="E410" s="38" t="inlineStr">
        <is>
          <t>Clinical Science</t>
        </is>
      </c>
      <c r="F410" s="41" t="inlineStr">
        <is>
          <t>Medium</t>
        </is>
      </c>
      <c r="G410" s="35" t="inlineStr">
        <is>
          <t>High</t>
        </is>
      </c>
      <c r="H410" s="38" t="inlineStr">
        <is>
          <t>jonesnat@umich.edu</t>
        </is>
      </c>
      <c r="I410" s="38" t="inlineStr">
        <is>
          <t>2026-04-02</t>
        </is>
      </c>
      <c r="J410" s="38" t="n"/>
      <c r="K410" s="38" t="inlineStr">
        <is>
          <t>NO</t>
        </is>
      </c>
      <c r="L410" s="39" t="inlineStr">
        <is>
          <t>New Lead</t>
        </is>
      </c>
      <c r="M410" s="38" t="n"/>
      <c r="N410" s="38" t="n"/>
      <c r="O410" s="38" t="n"/>
      <c r="P410" s="38" t="n">
        <v>2500</v>
      </c>
      <c r="Q410" s="38" t="n">
        <v>0</v>
      </c>
      <c r="R410" s="40">
        <f>IF(J410="","",TODAY()-DATE(LEFT(J410,4)*1,MID(J410,6,2)*1,RIGHT(J410,2)*1))</f>
        <v/>
      </c>
    </row>
    <row r="411" ht="18" customHeight="1" s="31">
      <c r="A411" s="34" t="n">
        <v>409</v>
      </c>
      <c r="B411" s="34" t="inlineStr">
        <is>
          <t>Nazanin</t>
        </is>
      </c>
      <c r="C411" s="34" t="inlineStr">
        <is>
          <t>Kafaee</t>
        </is>
      </c>
      <c r="D411" s="34" t="inlineStr">
        <is>
          <t>University of Michigan</t>
        </is>
      </c>
      <c r="E411" s="34" t="inlineStr">
        <is>
          <t>Personality &amp; Social Contexts</t>
        </is>
      </c>
      <c r="F411" s="41" t="inlineStr">
        <is>
          <t>Medium</t>
        </is>
      </c>
      <c r="G411" s="35" t="inlineStr">
        <is>
          <t>High</t>
        </is>
      </c>
      <c r="H411" s="34" t="inlineStr">
        <is>
          <t>nkafaee@umich.edu</t>
        </is>
      </c>
      <c r="I411" s="34" t="inlineStr">
        <is>
          <t>2026-04-02</t>
        </is>
      </c>
      <c r="J411" s="34" t="n"/>
      <c r="K411" s="34" t="inlineStr">
        <is>
          <t>NO</t>
        </is>
      </c>
      <c r="L411" s="36" t="inlineStr">
        <is>
          <t>New Lead</t>
        </is>
      </c>
      <c r="M411" s="34" t="n"/>
      <c r="N411" s="34" t="n"/>
      <c r="O411" s="34" t="n"/>
      <c r="P411" s="34" t="n">
        <v>2500</v>
      </c>
      <c r="Q411" s="34" t="n">
        <v>0</v>
      </c>
      <c r="R411" s="37">
        <f>IF(J411="","",TODAY()-DATE(LEFT(J411,4)*1,MID(J411,6,2)*1,RIGHT(J411,2)*1))</f>
        <v/>
      </c>
    </row>
    <row r="412" ht="18" customHeight="1" s="31">
      <c r="A412" s="38" t="n">
        <v>410</v>
      </c>
      <c r="B412" s="38" t="inlineStr">
        <is>
          <t>Hyeran</t>
        </is>
      </c>
      <c r="C412" s="38" t="inlineStr">
        <is>
          <t>Kang</t>
        </is>
      </c>
      <c r="D412" s="38" t="inlineStr">
        <is>
          <t>University of Michigan</t>
        </is>
      </c>
      <c r="E412" s="38" t="inlineStr">
        <is>
          <t>Cognition &amp; Cognitive Neuroscience</t>
        </is>
      </c>
      <c r="F412" s="41" t="inlineStr">
        <is>
          <t>Medium</t>
        </is>
      </c>
      <c r="G412" s="41" t="inlineStr">
        <is>
          <t>Medium</t>
        </is>
      </c>
      <c r="H412" s="38" t="inlineStr">
        <is>
          <t>hyerank@umich.edu</t>
        </is>
      </c>
      <c r="I412" s="38" t="inlineStr">
        <is>
          <t>2026-04-02</t>
        </is>
      </c>
      <c r="J412" s="38" t="n"/>
      <c r="K412" s="38" t="inlineStr">
        <is>
          <t>NO</t>
        </is>
      </c>
      <c r="L412" s="39" t="inlineStr">
        <is>
          <t>New Lead</t>
        </is>
      </c>
      <c r="M412" s="38" t="n"/>
      <c r="N412" s="38" t="n"/>
      <c r="O412" s="38" t="n"/>
      <c r="P412" s="38" t="n">
        <v>2500</v>
      </c>
      <c r="Q412" s="38" t="n">
        <v>0</v>
      </c>
      <c r="R412" s="40">
        <f>IF(J412="","",TODAY()-DATE(LEFT(J412,4)*1,MID(J412,6,2)*1,RIGHT(J412,2)*1))</f>
        <v/>
      </c>
    </row>
    <row r="413" ht="18" customHeight="1" s="31">
      <c r="A413" s="34" t="n">
        <v>411</v>
      </c>
      <c r="B413" s="34" t="inlineStr">
        <is>
          <t>Jacqueline</t>
        </is>
      </c>
      <c r="C413" s="34" t="inlineStr">
        <is>
          <t>Katz</t>
        </is>
      </c>
      <c r="D413" s="34" t="inlineStr">
        <is>
          <t>University of Michigan</t>
        </is>
      </c>
      <c r="E413" s="34" t="inlineStr">
        <is>
          <t>Clinical Science</t>
        </is>
      </c>
      <c r="F413" s="41" t="inlineStr">
        <is>
          <t>Medium</t>
        </is>
      </c>
      <c r="G413" s="35" t="inlineStr">
        <is>
          <t>High</t>
        </is>
      </c>
      <c r="H413" s="34" t="inlineStr">
        <is>
          <t>katzjac@umich.edu</t>
        </is>
      </c>
      <c r="I413" s="34" t="inlineStr">
        <is>
          <t>2026-04-02</t>
        </is>
      </c>
      <c r="J413" s="34" t="n"/>
      <c r="K413" s="34" t="inlineStr">
        <is>
          <t>NO</t>
        </is>
      </c>
      <c r="L413" s="36" t="inlineStr">
        <is>
          <t>New Lead</t>
        </is>
      </c>
      <c r="M413" s="34" t="n"/>
      <c r="N413" s="34" t="n"/>
      <c r="O413" s="34" t="n"/>
      <c r="P413" s="34" t="n">
        <v>2500</v>
      </c>
      <c r="Q413" s="34" t="n">
        <v>0</v>
      </c>
      <c r="R413" s="37">
        <f>IF(J413="","",TODAY()-DATE(LEFT(J413,4)*1,MID(J413,6,2)*1,RIGHT(J413,2)*1))</f>
        <v/>
      </c>
    </row>
    <row r="414" ht="18" customHeight="1" s="31">
      <c r="A414" s="38" t="n">
        <v>412</v>
      </c>
      <c r="B414" s="38" t="inlineStr">
        <is>
          <t>Lauren</t>
        </is>
      </c>
      <c r="C414" s="38" t="inlineStr">
        <is>
          <t>Kim</t>
        </is>
      </c>
      <c r="D414" s="38" t="inlineStr">
        <is>
          <t>University of Michigan</t>
        </is>
      </c>
      <c r="E414" s="38" t="inlineStr">
        <is>
          <t>Clinical Science</t>
        </is>
      </c>
      <c r="F414" s="41" t="inlineStr">
        <is>
          <t>Medium</t>
        </is>
      </c>
      <c r="G414" s="35" t="inlineStr">
        <is>
          <t>High</t>
        </is>
      </c>
      <c r="H414" s="38" t="inlineStr">
        <is>
          <t>laurekim@umich.edu</t>
        </is>
      </c>
      <c r="I414" s="38" t="inlineStr">
        <is>
          <t>2026-04-02</t>
        </is>
      </c>
      <c r="J414" s="38" t="n"/>
      <c r="K414" s="38" t="inlineStr">
        <is>
          <t>NO</t>
        </is>
      </c>
      <c r="L414" s="39" t="inlineStr">
        <is>
          <t>New Lead</t>
        </is>
      </c>
      <c r="M414" s="38" t="n"/>
      <c r="N414" s="38" t="n"/>
      <c r="O414" s="38" t="n"/>
      <c r="P414" s="38" t="n">
        <v>2500</v>
      </c>
      <c r="Q414" s="38" t="n">
        <v>0</v>
      </c>
      <c r="R414" s="40">
        <f>IF(J414="","",TODAY()-DATE(LEFT(J414,4)*1,MID(J414,6,2)*1,RIGHT(J414,2)*1))</f>
        <v/>
      </c>
    </row>
    <row r="415" ht="18" customHeight="1" s="31">
      <c r="A415" s="34" t="n">
        <v>413</v>
      </c>
      <c r="B415" s="34" t="inlineStr">
        <is>
          <t>Grant</t>
        </is>
      </c>
      <c r="C415" s="34" t="inlineStr">
        <is>
          <t>King</t>
        </is>
      </c>
      <c r="D415" s="34" t="inlineStr">
        <is>
          <t>University of Michigan</t>
        </is>
      </c>
      <c r="E415" s="34" t="inlineStr">
        <is>
          <t>Clinical Science</t>
        </is>
      </c>
      <c r="F415" s="41" t="inlineStr">
        <is>
          <t>Medium</t>
        </is>
      </c>
      <c r="G415" s="35" t="inlineStr">
        <is>
          <t>High</t>
        </is>
      </c>
      <c r="H415" s="34" t="inlineStr">
        <is>
          <t>grking@umich.edu</t>
        </is>
      </c>
      <c r="I415" s="34" t="inlineStr">
        <is>
          <t>2026-04-02</t>
        </is>
      </c>
      <c r="J415" s="34" t="n"/>
      <c r="K415" s="34" t="inlineStr">
        <is>
          <t>NO</t>
        </is>
      </c>
      <c r="L415" s="36" t="inlineStr">
        <is>
          <t>New Lead</t>
        </is>
      </c>
      <c r="M415" s="34" t="n"/>
      <c r="N415" s="34" t="n"/>
      <c r="O415" s="34" t="n"/>
      <c r="P415" s="34" t="n">
        <v>2500</v>
      </c>
      <c r="Q415" s="34" t="n">
        <v>0</v>
      </c>
      <c r="R415" s="37">
        <f>IF(J415="","",TODAY()-DATE(LEFT(J415,4)*1,MID(J415,6,2)*1,RIGHT(J415,2)*1))</f>
        <v/>
      </c>
    </row>
    <row r="416" ht="18" customHeight="1" s="31">
      <c r="A416" s="38" t="n">
        <v>414</v>
      </c>
      <c r="B416" s="38" t="inlineStr">
        <is>
          <t>Hong-Yi</t>
        </is>
      </c>
      <c r="C416" s="38" t="inlineStr">
        <is>
          <t>(Alfred) Koo</t>
        </is>
      </c>
      <c r="D416" s="38" t="inlineStr">
        <is>
          <t>University of Michigan</t>
        </is>
      </c>
      <c r="E416" s="38" t="inlineStr">
        <is>
          <t>Social Psychology</t>
        </is>
      </c>
      <c r="F416" s="35" t="inlineStr">
        <is>
          <t>High</t>
        </is>
      </c>
      <c r="G416" s="35" t="inlineStr">
        <is>
          <t>High</t>
        </is>
      </c>
      <c r="H416" s="38" t="inlineStr">
        <is>
          <t>hongkoo@umich.edu</t>
        </is>
      </c>
      <c r="I416" s="38" t="inlineStr">
        <is>
          <t>2026-04-02</t>
        </is>
      </c>
      <c r="J416" s="38" t="n"/>
      <c r="K416" s="38" t="inlineStr">
        <is>
          <t>NO</t>
        </is>
      </c>
      <c r="L416" s="39" t="inlineStr">
        <is>
          <t>New Lead</t>
        </is>
      </c>
      <c r="M416" s="38" t="n"/>
      <c r="N416" s="38" t="n"/>
      <c r="O416" s="38" t="n"/>
      <c r="P416" s="38" t="n">
        <v>2500</v>
      </c>
      <c r="Q416" s="38" t="n">
        <v>0</v>
      </c>
      <c r="R416" s="40">
        <f>IF(J416="","",TODAY()-DATE(LEFT(J416,4)*1,MID(J416,6,2)*1,RIGHT(J416,2)*1))</f>
        <v/>
      </c>
    </row>
    <row r="417" ht="18" customHeight="1" s="31">
      <c r="A417" s="34" t="n">
        <v>415</v>
      </c>
      <c r="B417" s="34" t="inlineStr">
        <is>
          <t>Mekhala</t>
        </is>
      </c>
      <c r="C417" s="34" t="inlineStr">
        <is>
          <t>Kumar</t>
        </is>
      </c>
      <c r="D417" s="34" t="inlineStr">
        <is>
          <t>University of Michigan</t>
        </is>
      </c>
      <c r="E417" s="34" t="inlineStr">
        <is>
          <t>Biopsychology</t>
        </is>
      </c>
      <c r="F417" s="41" t="inlineStr">
        <is>
          <t>Medium</t>
        </is>
      </c>
      <c r="G417" s="41" t="inlineStr">
        <is>
          <t>Medium</t>
        </is>
      </c>
      <c r="H417" s="34" t="inlineStr">
        <is>
          <t>mekh@umich.edu</t>
        </is>
      </c>
      <c r="I417" s="34" t="inlineStr">
        <is>
          <t>2026-04-02</t>
        </is>
      </c>
      <c r="J417" s="34" t="n"/>
      <c r="K417" s="34" t="inlineStr">
        <is>
          <t>NO</t>
        </is>
      </c>
      <c r="L417" s="36" t="inlineStr">
        <is>
          <t>New Lead</t>
        </is>
      </c>
      <c r="M417" s="34" t="n"/>
      <c r="N417" s="34" t="n"/>
      <c r="O417" s="34" t="n"/>
      <c r="P417" s="34" t="n">
        <v>2500</v>
      </c>
      <c r="Q417" s="34" t="n">
        <v>0</v>
      </c>
      <c r="R417" s="37">
        <f>IF(J417="","",TODAY()-DATE(LEFT(J417,4)*1,MID(J417,6,2)*1,RIGHT(J417,2)*1))</f>
        <v/>
      </c>
    </row>
    <row r="418" ht="18" customHeight="1" s="31">
      <c r="A418" s="38" t="n">
        <v>416</v>
      </c>
      <c r="B418" s="38" t="inlineStr">
        <is>
          <t>Shloka</t>
        </is>
      </c>
      <c r="C418" s="38" t="inlineStr">
        <is>
          <t>Kumar</t>
        </is>
      </c>
      <c r="D418" s="38" t="inlineStr">
        <is>
          <t>University of Michigan</t>
        </is>
      </c>
      <c r="E418" s="38" t="inlineStr">
        <is>
          <t>Social Psychology</t>
        </is>
      </c>
      <c r="F418" s="35" t="inlineStr">
        <is>
          <t>High</t>
        </is>
      </c>
      <c r="G418" s="35" t="inlineStr">
        <is>
          <t>High</t>
        </is>
      </c>
      <c r="H418" s="38" t="inlineStr">
        <is>
          <t>shloka@umich.edu</t>
        </is>
      </c>
      <c r="I418" s="38" t="inlineStr">
        <is>
          <t>2026-04-02</t>
        </is>
      </c>
      <c r="J418" s="38" t="n"/>
      <c r="K418" s="38" t="inlineStr">
        <is>
          <t>NO</t>
        </is>
      </c>
      <c r="L418" s="39" t="inlineStr">
        <is>
          <t>New Lead</t>
        </is>
      </c>
      <c r="M418" s="38" t="n"/>
      <c r="N418" s="38" t="n"/>
      <c r="O418" s="38" t="n"/>
      <c r="P418" s="38" t="n">
        <v>2500</v>
      </c>
      <c r="Q418" s="38" t="n">
        <v>0</v>
      </c>
      <c r="R418" s="40">
        <f>IF(J418="","",TODAY()-DATE(LEFT(J418,4)*1,MID(J418,6,2)*1,RIGHT(J418,2)*1))</f>
        <v/>
      </c>
    </row>
    <row r="419" ht="18" customHeight="1" s="31">
      <c r="A419" s="34" t="n">
        <v>417</v>
      </c>
      <c r="B419" s="34" t="inlineStr">
        <is>
          <t>Carly</t>
        </is>
      </c>
      <c r="C419" s="34" t="inlineStr">
        <is>
          <t>Lasagna</t>
        </is>
      </c>
      <c r="D419" s="34" t="inlineStr">
        <is>
          <t>University of Michigan</t>
        </is>
      </c>
      <c r="E419" s="34" t="inlineStr">
        <is>
          <t>Clinical Science</t>
        </is>
      </c>
      <c r="F419" s="41" t="inlineStr">
        <is>
          <t>Medium</t>
        </is>
      </c>
      <c r="G419" s="35" t="inlineStr">
        <is>
          <t>High</t>
        </is>
      </c>
      <c r="H419" s="34" t="inlineStr">
        <is>
          <t>clasagna@umich.edu</t>
        </is>
      </c>
      <c r="I419" s="34" t="inlineStr">
        <is>
          <t>2026-04-02</t>
        </is>
      </c>
      <c r="J419" s="34" t="n"/>
      <c r="K419" s="34" t="inlineStr">
        <is>
          <t>NO</t>
        </is>
      </c>
      <c r="L419" s="36" t="inlineStr">
        <is>
          <t>New Lead</t>
        </is>
      </c>
      <c r="M419" s="34" t="n"/>
      <c r="N419" s="34" t="n"/>
      <c r="O419" s="34" t="n"/>
      <c r="P419" s="34" t="n">
        <v>2500</v>
      </c>
      <c r="Q419" s="34" t="n">
        <v>0</v>
      </c>
      <c r="R419" s="37">
        <f>IF(J419="","",TODAY()-DATE(LEFT(J419,4)*1,MID(J419,6,2)*1,RIGHT(J419,2)*1))</f>
        <v/>
      </c>
    </row>
    <row r="420" ht="18" customHeight="1" s="31">
      <c r="A420" s="38" t="n">
        <v>418</v>
      </c>
      <c r="B420" s="38" t="inlineStr">
        <is>
          <t>Yike</t>
        </is>
      </c>
      <c r="C420" s="38" t="inlineStr">
        <is>
          <t>Li</t>
        </is>
      </c>
      <c r="D420" s="38" t="inlineStr">
        <is>
          <t>University of Michigan</t>
        </is>
      </c>
      <c r="E420" s="38" t="inlineStr">
        <is>
          <t>Cognition and Cognitive Neuroscience</t>
        </is>
      </c>
      <c r="F420" s="41" t="inlineStr">
        <is>
          <t>Medium</t>
        </is>
      </c>
      <c r="G420" s="41" t="inlineStr">
        <is>
          <t>Medium</t>
        </is>
      </c>
      <c r="H420" s="38" t="inlineStr">
        <is>
          <t>yikeli@umich.edu</t>
        </is>
      </c>
      <c r="I420" s="38" t="inlineStr">
        <is>
          <t>2026-04-02</t>
        </is>
      </c>
      <c r="J420" s="38" t="n"/>
      <c r="K420" s="38" t="inlineStr">
        <is>
          <t>NO</t>
        </is>
      </c>
      <c r="L420" s="39" t="inlineStr">
        <is>
          <t>New Lead</t>
        </is>
      </c>
      <c r="M420" s="38" t="n"/>
      <c r="N420" s="38" t="n"/>
      <c r="O420" s="38" t="n"/>
      <c r="P420" s="38" t="n">
        <v>2500</v>
      </c>
      <c r="Q420" s="38" t="n">
        <v>0</v>
      </c>
      <c r="R420" s="40">
        <f>IF(J420="","",TODAY()-DATE(LEFT(J420,4)*1,MID(J420,6,2)*1,RIGHT(J420,2)*1))</f>
        <v/>
      </c>
    </row>
    <row r="421" ht="18" customHeight="1" s="31">
      <c r="A421" s="34" t="n">
        <v>419</v>
      </c>
      <c r="B421" s="34" t="inlineStr">
        <is>
          <t>Lucy</t>
        </is>
      </c>
      <c r="C421" s="34" t="inlineStr">
        <is>
          <t>Loch</t>
        </is>
      </c>
      <c r="D421" s="34" t="inlineStr">
        <is>
          <t>University of Michigan</t>
        </is>
      </c>
      <c r="E421" s="34" t="inlineStr">
        <is>
          <t>Clinical Science</t>
        </is>
      </c>
      <c r="F421" s="41" t="inlineStr">
        <is>
          <t>Medium</t>
        </is>
      </c>
      <c r="G421" s="35" t="inlineStr">
        <is>
          <t>High</t>
        </is>
      </c>
      <c r="H421" s="34" t="inlineStr">
        <is>
          <t>lucyloc@umich.edu</t>
        </is>
      </c>
      <c r="I421" s="34" t="inlineStr">
        <is>
          <t>2026-04-02</t>
        </is>
      </c>
      <c r="J421" s="34" t="n"/>
      <c r="K421" s="34" t="inlineStr">
        <is>
          <t>NO</t>
        </is>
      </c>
      <c r="L421" s="36" t="inlineStr">
        <is>
          <t>New Lead</t>
        </is>
      </c>
      <c r="M421" s="34" t="n"/>
      <c r="N421" s="34" t="n"/>
      <c r="O421" s="34" t="n"/>
      <c r="P421" s="34" t="n">
        <v>2500</v>
      </c>
      <c r="Q421" s="34" t="n">
        <v>0</v>
      </c>
      <c r="R421" s="37">
        <f>IF(J421="","",TODAY()-DATE(LEFT(J421,4)*1,MID(J421,6,2)*1,RIGHT(J421,2)*1))</f>
        <v/>
      </c>
    </row>
    <row r="422" ht="18" customHeight="1" s="31">
      <c r="A422" s="38" t="n">
        <v>420</v>
      </c>
      <c r="B422" s="38" t="inlineStr">
        <is>
          <t>Haley</t>
        </is>
      </c>
      <c r="C422" s="38" t="inlineStr">
        <is>
          <t>Mehlman</t>
        </is>
      </c>
      <c r="D422" s="38" t="inlineStr">
        <is>
          <t>University of Michigan</t>
        </is>
      </c>
      <c r="E422" s="38" t="inlineStr">
        <is>
          <t>Social Psychology</t>
        </is>
      </c>
      <c r="F422" s="35" t="inlineStr">
        <is>
          <t>High</t>
        </is>
      </c>
      <c r="G422" s="35" t="inlineStr">
        <is>
          <t>High</t>
        </is>
      </c>
      <c r="H422" s="38" t="inlineStr">
        <is>
          <t>hmehlman@umich.edu</t>
        </is>
      </c>
      <c r="I422" s="38" t="inlineStr">
        <is>
          <t>2026-04-02</t>
        </is>
      </c>
      <c r="J422" s="38" t="n"/>
      <c r="K422" s="38" t="inlineStr">
        <is>
          <t>NO</t>
        </is>
      </c>
      <c r="L422" s="39" t="inlineStr">
        <is>
          <t>New Lead</t>
        </is>
      </c>
      <c r="M422" s="38" t="n"/>
      <c r="N422" s="38" t="n"/>
      <c r="O422" s="38" t="n"/>
      <c r="P422" s="38" t="n">
        <v>2500</v>
      </c>
      <c r="Q422" s="38" t="n">
        <v>0</v>
      </c>
      <c r="R422" s="40">
        <f>IF(J422="","",TODAY()-DATE(LEFT(J422,4)*1,MID(J422,6,2)*1,RIGHT(J422,2)*1))</f>
        <v/>
      </c>
    </row>
    <row r="423" ht="18" customHeight="1" s="31">
      <c r="A423" s="34" t="n">
        <v>421</v>
      </c>
      <c r="B423" s="34" t="inlineStr">
        <is>
          <t>Irene</t>
        </is>
      </c>
      <c r="C423" s="34" t="inlineStr">
        <is>
          <t>Melani</t>
        </is>
      </c>
      <c r="D423" s="34" t="inlineStr">
        <is>
          <t>University of Michigan</t>
        </is>
      </c>
      <c r="E423" s="34" t="inlineStr">
        <is>
          <t>Social Psychology</t>
        </is>
      </c>
      <c r="F423" s="35" t="inlineStr">
        <is>
          <t>High</t>
        </is>
      </c>
      <c r="G423" s="35" t="inlineStr">
        <is>
          <t>High</t>
        </is>
      </c>
      <c r="H423" s="34" t="inlineStr">
        <is>
          <t>imelani@umich.edu</t>
        </is>
      </c>
      <c r="I423" s="34" t="inlineStr">
        <is>
          <t>2026-04-02</t>
        </is>
      </c>
      <c r="J423" s="34" t="n"/>
      <c r="K423" s="34" t="inlineStr">
        <is>
          <t>NO</t>
        </is>
      </c>
      <c r="L423" s="36" t="inlineStr">
        <is>
          <t>New Lead</t>
        </is>
      </c>
      <c r="M423" s="34" t="n"/>
      <c r="N423" s="34" t="n"/>
      <c r="O423" s="34" t="n"/>
      <c r="P423" s="34" t="n">
        <v>2500</v>
      </c>
      <c r="Q423" s="34" t="n">
        <v>0</v>
      </c>
      <c r="R423" s="37">
        <f>IF(J423="","",TODAY()-DATE(LEFT(J423,4)*1,MID(J423,6,2)*1,RIGHT(J423,2)*1))</f>
        <v/>
      </c>
    </row>
    <row r="424" ht="18" customHeight="1" s="31">
      <c r="A424" s="38" t="n">
        <v>422</v>
      </c>
      <c r="B424" s="38" t="inlineStr">
        <is>
          <t>Jose</t>
        </is>
      </c>
      <c r="C424" s="38" t="inlineStr">
        <is>
          <t>(Joe) Morales Guzman</t>
        </is>
      </c>
      <c r="D424" s="38" t="inlineStr">
        <is>
          <t>University of Michigan</t>
        </is>
      </c>
      <c r="E424" s="38" t="inlineStr">
        <is>
          <t>Clinical Science</t>
        </is>
      </c>
      <c r="F424" s="41" t="inlineStr">
        <is>
          <t>Medium</t>
        </is>
      </c>
      <c r="G424" s="35" t="inlineStr">
        <is>
          <t>High</t>
        </is>
      </c>
      <c r="H424" s="38" t="inlineStr">
        <is>
          <t>jmguzman@umich.edu</t>
        </is>
      </c>
      <c r="I424" s="38" t="inlineStr">
        <is>
          <t>2026-04-02</t>
        </is>
      </c>
      <c r="J424" s="38" t="n"/>
      <c r="K424" s="38" t="inlineStr">
        <is>
          <t>NO</t>
        </is>
      </c>
      <c r="L424" s="39" t="inlineStr">
        <is>
          <t>New Lead</t>
        </is>
      </c>
      <c r="M424" s="38" t="n"/>
      <c r="N424" s="38" t="n"/>
      <c r="O424" s="38" t="n"/>
      <c r="P424" s="38" t="n">
        <v>2500</v>
      </c>
      <c r="Q424" s="38" t="n">
        <v>0</v>
      </c>
      <c r="R424" s="40">
        <f>IF(J424="","",TODAY()-DATE(LEFT(J424,4)*1,MID(J424,6,2)*1,RIGHT(J424,2)*1))</f>
        <v/>
      </c>
    </row>
    <row r="425" ht="18" customHeight="1" s="31">
      <c r="A425" s="34" t="n">
        <v>423</v>
      </c>
      <c r="B425" s="34" t="inlineStr">
        <is>
          <t>Sienna</t>
        </is>
      </c>
      <c r="C425" s="34" t="inlineStr">
        <is>
          <t>Nielsen</t>
        </is>
      </c>
      <c r="D425" s="34" t="inlineStr">
        <is>
          <t>University of Michigan</t>
        </is>
      </c>
      <c r="E425" s="34" t="inlineStr">
        <is>
          <t>Clinical Science</t>
        </is>
      </c>
      <c r="F425" s="41" t="inlineStr">
        <is>
          <t>Medium</t>
        </is>
      </c>
      <c r="G425" s="35" t="inlineStr">
        <is>
          <t>High</t>
        </is>
      </c>
      <c r="H425" s="34" t="inlineStr">
        <is>
          <t>siennarn@umich.edu</t>
        </is>
      </c>
      <c r="I425" s="34" t="inlineStr">
        <is>
          <t>2026-04-02</t>
        </is>
      </c>
      <c r="J425" s="34" t="n"/>
      <c r="K425" s="34" t="inlineStr">
        <is>
          <t>NO</t>
        </is>
      </c>
      <c r="L425" s="36" t="inlineStr">
        <is>
          <t>New Lead</t>
        </is>
      </c>
      <c r="M425" s="34" t="n"/>
      <c r="N425" s="34" t="n"/>
      <c r="O425" s="34" t="n"/>
      <c r="P425" s="34" t="n">
        <v>2500</v>
      </c>
      <c r="Q425" s="34" t="n">
        <v>0</v>
      </c>
      <c r="R425" s="37">
        <f>IF(J425="","",TODAY()-DATE(LEFT(J425,4)*1,MID(J425,6,2)*1,RIGHT(J425,2)*1))</f>
        <v/>
      </c>
    </row>
    <row r="426" ht="18" customHeight="1" s="31">
      <c r="A426" s="38" t="n">
        <v>424</v>
      </c>
      <c r="B426" s="38" t="inlineStr">
        <is>
          <t>Anthony</t>
        </is>
      </c>
      <c r="C426" s="38" t="inlineStr">
        <is>
          <t>Oliveira</t>
        </is>
      </c>
      <c r="D426" s="38" t="inlineStr">
        <is>
          <t>University of Michigan</t>
        </is>
      </c>
      <c r="E426" s="38" t="inlineStr">
        <is>
          <t>Clinical Science</t>
        </is>
      </c>
      <c r="F426" s="41" t="inlineStr">
        <is>
          <t>Medium</t>
        </is>
      </c>
      <c r="G426" s="35" t="inlineStr">
        <is>
          <t>High</t>
        </is>
      </c>
      <c r="H426" s="38" t="inlineStr">
        <is>
          <t>antholiv@umich.edu</t>
        </is>
      </c>
      <c r="I426" s="38" t="inlineStr">
        <is>
          <t>2026-04-02</t>
        </is>
      </c>
      <c r="J426" s="38" t="n"/>
      <c r="K426" s="38" t="inlineStr">
        <is>
          <t>NO</t>
        </is>
      </c>
      <c r="L426" s="39" t="inlineStr">
        <is>
          <t>New Lead</t>
        </is>
      </c>
      <c r="M426" s="38" t="n"/>
      <c r="N426" s="38" t="n"/>
      <c r="O426" s="38" t="n"/>
      <c r="P426" s="38" t="n">
        <v>2500</v>
      </c>
      <c r="Q426" s="38" t="n">
        <v>0</v>
      </c>
      <c r="R426" s="40">
        <f>IF(J426="","",TODAY()-DATE(LEFT(J426,4)*1,MID(J426,6,2)*1,RIGHT(J426,2)*1))</f>
        <v/>
      </c>
    </row>
    <row r="427" ht="18" customHeight="1" s="31">
      <c r="A427" s="34" t="n">
        <v>425</v>
      </c>
      <c r="B427" s="34" t="inlineStr">
        <is>
          <t>Jordan</t>
        </is>
      </c>
      <c r="C427" s="34" t="inlineStr">
        <is>
          <t>Palms</t>
        </is>
      </c>
      <c r="D427" s="34" t="inlineStr">
        <is>
          <t>University of Michigan</t>
        </is>
      </c>
      <c r="E427" s="34" t="inlineStr">
        <is>
          <t>Clinical Science</t>
        </is>
      </c>
      <c r="F427" s="41" t="inlineStr">
        <is>
          <t>Medium</t>
        </is>
      </c>
      <c r="G427" s="35" t="inlineStr">
        <is>
          <t>High</t>
        </is>
      </c>
      <c r="H427" s="34" t="inlineStr">
        <is>
          <t>jdpalms@umich.edu</t>
        </is>
      </c>
      <c r="I427" s="34" t="inlineStr">
        <is>
          <t>2026-04-02</t>
        </is>
      </c>
      <c r="J427" s="34" t="n"/>
      <c r="K427" s="34" t="inlineStr">
        <is>
          <t>NO</t>
        </is>
      </c>
      <c r="L427" s="36" t="inlineStr">
        <is>
          <t>New Lead</t>
        </is>
      </c>
      <c r="M427" s="34" t="n"/>
      <c r="N427" s="34" t="n"/>
      <c r="O427" s="34" t="n"/>
      <c r="P427" s="34" t="n">
        <v>2500</v>
      </c>
      <c r="Q427" s="34" t="n">
        <v>0</v>
      </c>
      <c r="R427" s="37">
        <f>IF(J427="","",TODAY()-DATE(LEFT(J427,4)*1,MID(J427,6,2)*1,RIGHT(J427,2)*1))</f>
        <v/>
      </c>
    </row>
    <row r="428" ht="18" customHeight="1" s="31">
      <c r="A428" s="38" t="n">
        <v>426</v>
      </c>
      <c r="B428" s="38" t="inlineStr">
        <is>
          <t>Rupsha</t>
        </is>
      </c>
      <c r="C428" s="38" t="inlineStr">
        <is>
          <t>Panda</t>
        </is>
      </c>
      <c r="D428" s="38" t="inlineStr">
        <is>
          <t>University of Michigan</t>
        </is>
      </c>
      <c r="E428" s="38" t="inlineStr">
        <is>
          <t>Cognition and Cognitive Neuroscience</t>
        </is>
      </c>
      <c r="F428" s="41" t="inlineStr">
        <is>
          <t>Medium</t>
        </is>
      </c>
      <c r="G428" s="41" t="inlineStr">
        <is>
          <t>Medium</t>
        </is>
      </c>
      <c r="H428" s="38" t="inlineStr">
        <is>
          <t>rupsha@umich.edu</t>
        </is>
      </c>
      <c r="I428" s="38" t="inlineStr">
        <is>
          <t>2026-04-02</t>
        </is>
      </c>
      <c r="J428" s="38" t="n"/>
      <c r="K428" s="38" t="inlineStr">
        <is>
          <t>NO</t>
        </is>
      </c>
      <c r="L428" s="39" t="inlineStr">
        <is>
          <t>New Lead</t>
        </is>
      </c>
      <c r="M428" s="38" t="n"/>
      <c r="N428" s="38" t="n"/>
      <c r="O428" s="38" t="n"/>
      <c r="P428" s="38" t="n">
        <v>2500</v>
      </c>
      <c r="Q428" s="38" t="n">
        <v>0</v>
      </c>
      <c r="R428" s="40">
        <f>IF(J428="","",TODAY()-DATE(LEFT(J428,4)*1,MID(J428,6,2)*1,RIGHT(J428,2)*1))</f>
        <v/>
      </c>
    </row>
    <row r="429" ht="18" customHeight="1" s="31">
      <c r="A429" s="34" t="n">
        <v>427</v>
      </c>
      <c r="B429" s="34" t="inlineStr">
        <is>
          <t>Danielle</t>
        </is>
      </c>
      <c r="C429" s="34" t="inlineStr">
        <is>
          <t>Parra</t>
        </is>
      </c>
      <c r="D429" s="34" t="inlineStr">
        <is>
          <t>University of Michigan</t>
        </is>
      </c>
      <c r="E429" s="34" t="inlineStr">
        <is>
          <t>Personality and Social Contexts</t>
        </is>
      </c>
      <c r="F429" s="41" t="inlineStr">
        <is>
          <t>Medium</t>
        </is>
      </c>
      <c r="G429" s="35" t="inlineStr">
        <is>
          <t>High</t>
        </is>
      </c>
      <c r="H429" s="34" t="inlineStr">
        <is>
          <t>dnparra@umich.edu</t>
        </is>
      </c>
      <c r="I429" s="34" t="inlineStr">
        <is>
          <t>2026-04-02</t>
        </is>
      </c>
      <c r="J429" s="34" t="n"/>
      <c r="K429" s="34" t="inlineStr">
        <is>
          <t>NO</t>
        </is>
      </c>
      <c r="L429" s="36" t="inlineStr">
        <is>
          <t>New Lead</t>
        </is>
      </c>
      <c r="M429" s="34" t="n"/>
      <c r="N429" s="34" t="n"/>
      <c r="O429" s="34" t="n"/>
      <c r="P429" s="34" t="n">
        <v>2500</v>
      </c>
      <c r="Q429" s="34" t="n">
        <v>0</v>
      </c>
      <c r="R429" s="37">
        <f>IF(J429="","",TODAY()-DATE(LEFT(J429,4)*1,MID(J429,6,2)*1,RIGHT(J429,2)*1))</f>
        <v/>
      </c>
    </row>
    <row r="430" ht="18" customHeight="1" s="31">
      <c r="A430" s="38" t="n">
        <v>428</v>
      </c>
      <c r="B430" s="38" t="inlineStr">
        <is>
          <t>Robrielle</t>
        </is>
      </c>
      <c r="C430" s="38" t="inlineStr">
        <is>
          <t>Pierce</t>
        </is>
      </c>
      <c r="D430" s="38" t="inlineStr">
        <is>
          <t>University of Michigan</t>
        </is>
      </c>
      <c r="E430" s="38" t="inlineStr">
        <is>
          <t>Clinical Science</t>
        </is>
      </c>
      <c r="F430" s="41" t="inlineStr">
        <is>
          <t>Medium</t>
        </is>
      </c>
      <c r="G430" s="35" t="inlineStr">
        <is>
          <t>High</t>
        </is>
      </c>
      <c r="H430" s="38" t="inlineStr">
        <is>
          <t>rmpierce@umich.edu</t>
        </is>
      </c>
      <c r="I430" s="38" t="inlineStr">
        <is>
          <t>2026-04-02</t>
        </is>
      </c>
      <c r="J430" s="38" t="n"/>
      <c r="K430" s="38" t="inlineStr">
        <is>
          <t>NO</t>
        </is>
      </c>
      <c r="L430" s="39" t="inlineStr">
        <is>
          <t>New Lead</t>
        </is>
      </c>
      <c r="M430" s="38" t="n"/>
      <c r="N430" s="38" t="n"/>
      <c r="O430" s="38" t="n"/>
      <c r="P430" s="38" t="n">
        <v>2500</v>
      </c>
      <c r="Q430" s="38" t="n">
        <v>0</v>
      </c>
      <c r="R430" s="40">
        <f>IF(J430="","",TODAY()-DATE(LEFT(J430,4)*1,MID(J430,6,2)*1,RIGHT(J430,2)*1))</f>
        <v/>
      </c>
    </row>
    <row r="431" ht="18" customHeight="1" s="31">
      <c r="A431" s="34" t="n">
        <v>429</v>
      </c>
      <c r="B431" s="34" t="inlineStr">
        <is>
          <t>Elena</t>
        </is>
      </c>
      <c r="C431" s="34" t="inlineStr">
        <is>
          <t>Pokowitz</t>
        </is>
      </c>
      <c r="D431" s="34" t="inlineStr">
        <is>
          <t>University of Michigan</t>
        </is>
      </c>
      <c r="E431" s="34" t="inlineStr">
        <is>
          <t>Clinical Science</t>
        </is>
      </c>
      <c r="F431" s="41" t="inlineStr">
        <is>
          <t>Medium</t>
        </is>
      </c>
      <c r="G431" s="35" t="inlineStr">
        <is>
          <t>High</t>
        </is>
      </c>
      <c r="H431" s="34" t="inlineStr">
        <is>
          <t>pokowitz@umich.edu</t>
        </is>
      </c>
      <c r="I431" s="34" t="inlineStr">
        <is>
          <t>2026-04-02</t>
        </is>
      </c>
      <c r="J431" s="34" t="n"/>
      <c r="K431" s="34" t="inlineStr">
        <is>
          <t>NO</t>
        </is>
      </c>
      <c r="L431" s="36" t="inlineStr">
        <is>
          <t>New Lead</t>
        </is>
      </c>
      <c r="M431" s="34" t="n"/>
      <c r="N431" s="34" t="n"/>
      <c r="O431" s="34" t="n"/>
      <c r="P431" s="34" t="n">
        <v>2500</v>
      </c>
      <c r="Q431" s="34" t="n">
        <v>0</v>
      </c>
      <c r="R431" s="37">
        <f>IF(J431="","",TODAY()-DATE(LEFT(J431,4)*1,MID(J431,6,2)*1,RIGHT(J431,2)*1))</f>
        <v/>
      </c>
    </row>
    <row r="432" ht="18" customHeight="1" s="31">
      <c r="A432" s="38" t="n">
        <v>430</v>
      </c>
      <c r="B432" s="38" t="inlineStr">
        <is>
          <t>Micaela</t>
        </is>
      </c>
      <c r="C432" s="38" t="inlineStr">
        <is>
          <t>Rodriguez</t>
        </is>
      </c>
      <c r="D432" s="38" t="inlineStr">
        <is>
          <t>University of Michigan</t>
        </is>
      </c>
      <c r="E432" s="38" t="inlineStr">
        <is>
          <t>Social Psychology</t>
        </is>
      </c>
      <c r="F432" s="35" t="inlineStr">
        <is>
          <t>High</t>
        </is>
      </c>
      <c r="G432" s="35" t="inlineStr">
        <is>
          <t>High</t>
        </is>
      </c>
      <c r="H432" s="38" t="inlineStr">
        <is>
          <t>rodrim@umich.edu</t>
        </is>
      </c>
      <c r="I432" s="38" t="inlineStr">
        <is>
          <t>2026-04-02</t>
        </is>
      </c>
      <c r="J432" s="38" t="n"/>
      <c r="K432" s="38" t="inlineStr">
        <is>
          <t>NO</t>
        </is>
      </c>
      <c r="L432" s="39" t="inlineStr">
        <is>
          <t>New Lead</t>
        </is>
      </c>
      <c r="M432" s="38" t="n"/>
      <c r="N432" s="38" t="n"/>
      <c r="O432" s="38" t="n"/>
      <c r="P432" s="38" t="n">
        <v>2500</v>
      </c>
      <c r="Q432" s="38" t="n">
        <v>0</v>
      </c>
      <c r="R432" s="40">
        <f>IF(J432="","",TODAY()-DATE(LEFT(J432,4)*1,MID(J432,6,2)*1,RIGHT(J432,2)*1))</f>
        <v/>
      </c>
    </row>
    <row r="433" ht="18" customHeight="1" s="31">
      <c r="A433" s="34" t="n">
        <v>431</v>
      </c>
      <c r="B433" s="34" t="inlineStr">
        <is>
          <t>Brianna</t>
        </is>
      </c>
      <c r="C433" s="34" t="inlineStr">
        <is>
          <t>Z. Ross</t>
        </is>
      </c>
      <c r="D433" s="34" t="inlineStr">
        <is>
          <t>University of Michigan</t>
        </is>
      </c>
      <c r="E433" s="34" t="inlineStr">
        <is>
          <t>Personality &amp; Social Contexts</t>
        </is>
      </c>
      <c r="F433" s="41" t="inlineStr">
        <is>
          <t>Medium</t>
        </is>
      </c>
      <c r="G433" s="35" t="inlineStr">
        <is>
          <t>High</t>
        </is>
      </c>
      <c r="H433" s="34" t="inlineStr">
        <is>
          <t>bzross@umich.edu</t>
        </is>
      </c>
      <c r="I433" s="34" t="inlineStr">
        <is>
          <t>2026-04-02</t>
        </is>
      </c>
      <c r="J433" s="34" t="n"/>
      <c r="K433" s="34" t="inlineStr">
        <is>
          <t>NO</t>
        </is>
      </c>
      <c r="L433" s="36" t="inlineStr">
        <is>
          <t>New Lead</t>
        </is>
      </c>
      <c r="M433" s="34" t="n"/>
      <c r="N433" s="34" t="n"/>
      <c r="O433" s="34" t="n"/>
      <c r="P433" s="34" t="n">
        <v>2500</v>
      </c>
      <c r="Q433" s="34" t="n">
        <v>0</v>
      </c>
      <c r="R433" s="37">
        <f>IF(J433="","",TODAY()-DATE(LEFT(J433,4)*1,MID(J433,6,2)*1,RIGHT(J433,2)*1))</f>
        <v/>
      </c>
    </row>
    <row r="434" ht="18" customHeight="1" s="31">
      <c r="A434" s="38" t="n">
        <v>432</v>
      </c>
      <c r="B434" s="38" t="inlineStr">
        <is>
          <t>Katherine</t>
        </is>
      </c>
      <c r="C434" s="38" t="inlineStr">
        <is>
          <t>Ross</t>
        </is>
      </c>
      <c r="D434" s="38" t="inlineStr">
        <is>
          <t>University of Michigan</t>
        </is>
      </c>
      <c r="E434" s="38" t="inlineStr">
        <is>
          <t>Clinical Science</t>
        </is>
      </c>
      <c r="F434" s="41" t="inlineStr">
        <is>
          <t>Medium</t>
        </is>
      </c>
      <c r="G434" s="35" t="inlineStr">
        <is>
          <t>High</t>
        </is>
      </c>
      <c r="H434" s="38" t="inlineStr">
        <is>
          <t>ketross@umich.edu</t>
        </is>
      </c>
      <c r="I434" s="38" t="inlineStr">
        <is>
          <t>2026-04-02</t>
        </is>
      </c>
      <c r="J434" s="38" t="n"/>
      <c r="K434" s="38" t="inlineStr">
        <is>
          <t>NO</t>
        </is>
      </c>
      <c r="L434" s="39" t="inlineStr">
        <is>
          <t>New Lead</t>
        </is>
      </c>
      <c r="M434" s="38" t="n"/>
      <c r="N434" s="38" t="n"/>
      <c r="O434" s="38" t="n"/>
      <c r="P434" s="38" t="n">
        <v>2500</v>
      </c>
      <c r="Q434" s="38" t="n">
        <v>0</v>
      </c>
      <c r="R434" s="40">
        <f>IF(J434="","",TODAY()-DATE(LEFT(J434,4)*1,MID(J434,6,2)*1,RIGHT(J434,2)*1))</f>
        <v/>
      </c>
    </row>
    <row r="435" ht="18" customHeight="1" s="31">
      <c r="A435" s="34" t="n">
        <v>433</v>
      </c>
      <c r="B435" s="34" t="inlineStr">
        <is>
          <t>Amelie</t>
        </is>
      </c>
      <c r="C435" s="34" t="inlineStr">
        <is>
          <t>Rossmaier</t>
        </is>
      </c>
      <c r="D435" s="34" t="inlineStr">
        <is>
          <t>University of Michigan</t>
        </is>
      </c>
      <c r="E435" s="34" t="inlineStr">
        <is>
          <t>Social Psychology</t>
        </is>
      </c>
      <c r="F435" s="35" t="inlineStr">
        <is>
          <t>High</t>
        </is>
      </c>
      <c r="G435" s="35" t="inlineStr">
        <is>
          <t>High</t>
        </is>
      </c>
      <c r="H435" s="34" t="inlineStr">
        <is>
          <t>arossmai@umich.edu</t>
        </is>
      </c>
      <c r="I435" s="34" t="inlineStr">
        <is>
          <t>2026-04-02</t>
        </is>
      </c>
      <c r="J435" s="34" t="n"/>
      <c r="K435" s="34" t="inlineStr">
        <is>
          <t>NO</t>
        </is>
      </c>
      <c r="L435" s="36" t="inlineStr">
        <is>
          <t>New Lead</t>
        </is>
      </c>
      <c r="M435" s="34" t="n"/>
      <c r="N435" s="34" t="n"/>
      <c r="O435" s="34" t="n"/>
      <c r="P435" s="34" t="n">
        <v>2500</v>
      </c>
      <c r="Q435" s="34" t="n">
        <v>0</v>
      </c>
      <c r="R435" s="37">
        <f>IF(J435="","",TODAY()-DATE(LEFT(J435,4)*1,MID(J435,6,2)*1,RIGHT(J435,2)*1))</f>
        <v/>
      </c>
    </row>
    <row r="436" ht="18" customHeight="1" s="31">
      <c r="A436" s="38" t="n">
        <v>434</v>
      </c>
      <c r="B436" s="38" t="inlineStr">
        <is>
          <t>Kaelyn</t>
        </is>
      </c>
      <c r="C436" s="38" t="inlineStr">
        <is>
          <t>Sabree</t>
        </is>
      </c>
      <c r="D436" s="38" t="inlineStr">
        <is>
          <t>University of Michigan</t>
        </is>
      </c>
      <c r="E436" s="38" t="inlineStr">
        <is>
          <t>Social Psychology</t>
        </is>
      </c>
      <c r="F436" s="35" t="inlineStr">
        <is>
          <t>High</t>
        </is>
      </c>
      <c r="G436" s="35" t="inlineStr">
        <is>
          <t>High</t>
        </is>
      </c>
      <c r="H436" s="38" t="inlineStr">
        <is>
          <t>ksabree@umich.edu</t>
        </is>
      </c>
      <c r="I436" s="38" t="inlineStr">
        <is>
          <t>2026-04-02</t>
        </is>
      </c>
      <c r="J436" s="38" t="n"/>
      <c r="K436" s="38" t="inlineStr">
        <is>
          <t>NO</t>
        </is>
      </c>
      <c r="L436" s="39" t="inlineStr">
        <is>
          <t>New Lead</t>
        </is>
      </c>
      <c r="M436" s="38" t="n"/>
      <c r="N436" s="38" t="n"/>
      <c r="O436" s="38" t="n"/>
      <c r="P436" s="38" t="n">
        <v>2500</v>
      </c>
      <c r="Q436" s="38" t="n">
        <v>0</v>
      </c>
      <c r="R436" s="40">
        <f>IF(J436="","",TODAY()-DATE(LEFT(J436,4)*1,MID(J436,6,2)*1,RIGHT(J436,2)*1))</f>
        <v/>
      </c>
    </row>
    <row r="437" ht="18" customHeight="1" s="31">
      <c r="A437" s="34" t="n">
        <v>435</v>
      </c>
      <c r="B437" s="34" t="inlineStr">
        <is>
          <t>Jacob</t>
        </is>
      </c>
      <c r="C437" s="34" t="inlineStr">
        <is>
          <t>Sellers</t>
        </is>
      </c>
      <c r="D437" s="34" t="inlineStr">
        <is>
          <t>University of Michigan</t>
        </is>
      </c>
      <c r="E437" s="34" t="inlineStr">
        <is>
          <t>Cognition and Cognitive Neuroscience</t>
        </is>
      </c>
      <c r="F437" s="41" t="inlineStr">
        <is>
          <t>Medium</t>
        </is>
      </c>
      <c r="G437" s="41" t="inlineStr">
        <is>
          <t>Medium</t>
        </is>
      </c>
      <c r="H437" s="34" t="inlineStr">
        <is>
          <t>jacobsel@umich.edu</t>
        </is>
      </c>
      <c r="I437" s="34" t="inlineStr">
        <is>
          <t>2026-04-02</t>
        </is>
      </c>
      <c r="J437" s="34" t="n"/>
      <c r="K437" s="34" t="inlineStr">
        <is>
          <t>NO</t>
        </is>
      </c>
      <c r="L437" s="36" t="inlineStr">
        <is>
          <t>New Lead</t>
        </is>
      </c>
      <c r="M437" s="34" t="n"/>
      <c r="N437" s="34" t="n"/>
      <c r="O437" s="34" t="n"/>
      <c r="P437" s="34" t="n">
        <v>2500</v>
      </c>
      <c r="Q437" s="34" t="n">
        <v>0</v>
      </c>
      <c r="R437" s="37">
        <f>IF(J437="","",TODAY()-DATE(LEFT(J437,4)*1,MID(J437,6,2)*1,RIGHT(J437,2)*1))</f>
        <v/>
      </c>
    </row>
    <row r="438" ht="18" customHeight="1" s="31">
      <c r="A438" s="38" t="n">
        <v>436</v>
      </c>
      <c r="B438" s="38" t="inlineStr">
        <is>
          <t>MohammadHasan</t>
        </is>
      </c>
      <c r="C438" s="38" t="inlineStr">
        <is>
          <t>(Hasan) Sharifian</t>
        </is>
      </c>
      <c r="D438" s="38" t="inlineStr">
        <is>
          <t>University of Michigan</t>
        </is>
      </c>
      <c r="E438" s="38" t="inlineStr">
        <is>
          <t>Social Psychology</t>
        </is>
      </c>
      <c r="F438" s="35" t="inlineStr">
        <is>
          <t>High</t>
        </is>
      </c>
      <c r="G438" s="35" t="inlineStr">
        <is>
          <t>High</t>
        </is>
      </c>
      <c r="H438" s="38" t="inlineStr">
        <is>
          <t>sharifih@umich.edu</t>
        </is>
      </c>
      <c r="I438" s="38" t="inlineStr">
        <is>
          <t>2026-04-02</t>
        </is>
      </c>
      <c r="J438" s="38" t="n"/>
      <c r="K438" s="38" t="inlineStr">
        <is>
          <t>NO</t>
        </is>
      </c>
      <c r="L438" s="39" t="inlineStr">
        <is>
          <t>New Lead</t>
        </is>
      </c>
      <c r="M438" s="38" t="n"/>
      <c r="N438" s="38" t="n"/>
      <c r="O438" s="38" t="n"/>
      <c r="P438" s="38" t="n">
        <v>2500</v>
      </c>
      <c r="Q438" s="38" t="n">
        <v>0</v>
      </c>
      <c r="R438" s="40">
        <f>IF(J438="","",TODAY()-DATE(LEFT(J438,4)*1,MID(J438,6,2)*1,RIGHT(J438,2)*1))</f>
        <v/>
      </c>
    </row>
    <row r="439" ht="18" customHeight="1" s="31">
      <c r="A439" s="34" t="n">
        <v>437</v>
      </c>
      <c r="B439" s="34" t="inlineStr">
        <is>
          <t>Julia</t>
        </is>
      </c>
      <c r="C439" s="34" t="inlineStr">
        <is>
          <t>Smoot</t>
        </is>
      </c>
      <c r="D439" s="34" t="inlineStr">
        <is>
          <t>University of Michigan</t>
        </is>
      </c>
      <c r="E439" s="34" t="inlineStr">
        <is>
          <t>Joint Program in Women's and Gender Studies and Personality &amp; Social Contexts</t>
        </is>
      </c>
      <c r="F439" s="41" t="inlineStr">
        <is>
          <t>Medium</t>
        </is>
      </c>
      <c r="G439" s="41" t="inlineStr">
        <is>
          <t>Medium</t>
        </is>
      </c>
      <c r="H439" s="34" t="inlineStr">
        <is>
          <t>jsmoot@umich.edu</t>
        </is>
      </c>
      <c r="I439" s="34" t="inlineStr">
        <is>
          <t>2026-04-02</t>
        </is>
      </c>
      <c r="J439" s="34" t="n"/>
      <c r="K439" s="34" t="inlineStr">
        <is>
          <t>NO</t>
        </is>
      </c>
      <c r="L439" s="36" t="inlineStr">
        <is>
          <t>New Lead</t>
        </is>
      </c>
      <c r="M439" s="34" t="n"/>
      <c r="N439" s="34" t="n"/>
      <c r="O439" s="34" t="n"/>
      <c r="P439" s="34" t="n">
        <v>2500</v>
      </c>
      <c r="Q439" s="34" t="n">
        <v>0</v>
      </c>
      <c r="R439" s="37">
        <f>IF(J439="","",TODAY()-DATE(LEFT(J439,4)*1,MID(J439,6,2)*1,RIGHT(J439,2)*1))</f>
        <v/>
      </c>
    </row>
    <row r="440" ht="18" customHeight="1" s="31">
      <c r="A440" s="38" t="n">
        <v>438</v>
      </c>
      <c r="B440" s="38" t="inlineStr">
        <is>
          <t>Audrey</t>
        </is>
      </c>
      <c r="C440" s="38" t="inlineStr">
        <is>
          <t>Stromberg</t>
        </is>
      </c>
      <c r="D440" s="38" t="inlineStr">
        <is>
          <t>University of Michigan</t>
        </is>
      </c>
      <c r="E440" s="38" t="inlineStr">
        <is>
          <t>Clinical Science</t>
        </is>
      </c>
      <c r="F440" s="41" t="inlineStr">
        <is>
          <t>Medium</t>
        </is>
      </c>
      <c r="G440" s="35" t="inlineStr">
        <is>
          <t>High</t>
        </is>
      </c>
      <c r="H440" s="38" t="inlineStr">
        <is>
          <t>arstrom@umich.edu</t>
        </is>
      </c>
      <c r="I440" s="38" t="inlineStr">
        <is>
          <t>2026-04-02</t>
        </is>
      </c>
      <c r="J440" s="38" t="n"/>
      <c r="K440" s="38" t="inlineStr">
        <is>
          <t>NO</t>
        </is>
      </c>
      <c r="L440" s="39" t="inlineStr">
        <is>
          <t>New Lead</t>
        </is>
      </c>
      <c r="M440" s="38" t="n"/>
      <c r="N440" s="38" t="n"/>
      <c r="O440" s="38" t="n"/>
      <c r="P440" s="38" t="n">
        <v>2500</v>
      </c>
      <c r="Q440" s="38" t="n">
        <v>0</v>
      </c>
      <c r="R440" s="40">
        <f>IF(J440="","",TODAY()-DATE(LEFT(J440,4)*1,MID(J440,6,2)*1,RIGHT(J440,2)*1))</f>
        <v/>
      </c>
    </row>
    <row r="441" ht="18" customHeight="1" s="31">
      <c r="A441" s="34" t="n">
        <v>439</v>
      </c>
      <c r="B441" s="34" t="inlineStr">
        <is>
          <t>Tong</t>
        </is>
      </c>
      <c r="C441" s="34" t="inlineStr">
        <is>
          <t>Suo</t>
        </is>
      </c>
      <c r="D441" s="34" t="inlineStr">
        <is>
          <t>University of Michigan</t>
        </is>
      </c>
      <c r="E441" s="34" t="inlineStr">
        <is>
          <t>Social Psychology</t>
        </is>
      </c>
      <c r="F441" s="35" t="inlineStr">
        <is>
          <t>High</t>
        </is>
      </c>
      <c r="G441" s="35" t="inlineStr">
        <is>
          <t>High</t>
        </is>
      </c>
      <c r="H441" s="34" t="inlineStr">
        <is>
          <t>tongsuo@umich.edu</t>
        </is>
      </c>
      <c r="I441" s="34" t="inlineStr">
        <is>
          <t>2026-04-02</t>
        </is>
      </c>
      <c r="J441" s="34" t="n"/>
      <c r="K441" s="34" t="inlineStr">
        <is>
          <t>NO</t>
        </is>
      </c>
      <c r="L441" s="36" t="inlineStr">
        <is>
          <t>New Lead</t>
        </is>
      </c>
      <c r="M441" s="34" t="n"/>
      <c r="N441" s="34" t="n"/>
      <c r="O441" s="34" t="n"/>
      <c r="P441" s="34" t="n">
        <v>2500</v>
      </c>
      <c r="Q441" s="34" t="n">
        <v>0</v>
      </c>
      <c r="R441" s="37">
        <f>IF(J441="","",TODAY()-DATE(LEFT(J441,4)*1,MID(J441,6,2)*1,RIGHT(J441,2)*1))</f>
        <v/>
      </c>
    </row>
    <row r="442" ht="18" customHeight="1" s="31">
      <c r="A442" s="38" t="n">
        <v>440</v>
      </c>
      <c r="B442" s="38" t="inlineStr">
        <is>
          <t>Erin</t>
        </is>
      </c>
      <c r="C442" s="38" t="inlineStr">
        <is>
          <t>Wang</t>
        </is>
      </c>
      <c r="D442" s="38" t="inlineStr">
        <is>
          <t>University of Michigan</t>
        </is>
      </c>
      <c r="E442" s="38" t="inlineStr">
        <is>
          <t>Social Psychology</t>
        </is>
      </c>
      <c r="F442" s="35" t="inlineStr">
        <is>
          <t>High</t>
        </is>
      </c>
      <c r="G442" s="35" t="inlineStr">
        <is>
          <t>High</t>
        </is>
      </c>
      <c r="H442" s="38" t="inlineStr">
        <is>
          <t>erinwang@umich.edu</t>
        </is>
      </c>
      <c r="I442" s="38" t="inlineStr">
        <is>
          <t>2026-04-02</t>
        </is>
      </c>
      <c r="J442" s="38" t="n"/>
      <c r="K442" s="38" t="inlineStr">
        <is>
          <t>NO</t>
        </is>
      </c>
      <c r="L442" s="39" t="inlineStr">
        <is>
          <t>New Lead</t>
        </is>
      </c>
      <c r="M442" s="38" t="n"/>
      <c r="N442" s="38" t="n"/>
      <c r="O442" s="38" t="n"/>
      <c r="P442" s="38" t="n">
        <v>2500</v>
      </c>
      <c r="Q442" s="38" t="n">
        <v>0</v>
      </c>
      <c r="R442" s="40">
        <f>IF(J442="","",TODAY()-DATE(LEFT(J442,4)*1,MID(J442,6,2)*1,RIGHT(J442,2)*1))</f>
        <v/>
      </c>
    </row>
    <row r="443" ht="18" customHeight="1" s="31">
      <c r="A443" s="34" t="n">
        <v>441</v>
      </c>
      <c r="B443" s="34" t="inlineStr">
        <is>
          <t>Bahar</t>
        </is>
      </c>
      <c r="C443" s="34" t="inlineStr">
        <is>
          <t>Yüksel</t>
        </is>
      </c>
      <c r="D443" s="34" t="inlineStr">
        <is>
          <t>University of Michigan</t>
        </is>
      </c>
      <c r="E443" s="34" t="inlineStr">
        <is>
          <t>Brain &amp; Behavior</t>
        </is>
      </c>
      <c r="F443" s="35" t="inlineStr">
        <is>
          <t>High</t>
        </is>
      </c>
      <c r="G443" s="35" t="inlineStr">
        <is>
          <t>High</t>
        </is>
      </c>
      <c r="H443" s="34" t="inlineStr">
        <is>
          <t>byuksel@umich.edu</t>
        </is>
      </c>
      <c r="I443" s="34" t="inlineStr">
        <is>
          <t>2026-04-02</t>
        </is>
      </c>
      <c r="J443" s="34" t="n"/>
      <c r="K443" s="34" t="inlineStr">
        <is>
          <t>NO</t>
        </is>
      </c>
      <c r="L443" s="36" t="inlineStr">
        <is>
          <t>New Lead</t>
        </is>
      </c>
      <c r="M443" s="34" t="n"/>
      <c r="N443" s="34" t="n"/>
      <c r="O443" s="34" t="n"/>
      <c r="P443" s="34" t="n">
        <v>2500</v>
      </c>
      <c r="Q443" s="34" t="n">
        <v>0</v>
      </c>
      <c r="R443" s="37">
        <f>IF(J443="","",TODAY()-DATE(LEFT(J443,4)*1,MID(J443,6,2)*1,RIGHT(J443,2)*1))</f>
        <v/>
      </c>
    </row>
    <row r="444" ht="18" customHeight="1" s="31">
      <c r="A444" s="38" t="n">
        <v>442</v>
      </c>
      <c r="B444" s="38" t="inlineStr">
        <is>
          <t>Tianyu</t>
        </is>
      </c>
      <c r="C444" s="38" t="inlineStr">
        <is>
          <t>Zhang</t>
        </is>
      </c>
      <c r="D444" s="38" t="inlineStr">
        <is>
          <t>University of Michigan</t>
        </is>
      </c>
      <c r="E444" s="38" t="inlineStr">
        <is>
          <t>Cognition &amp; Cognitive Neuroscience</t>
        </is>
      </c>
      <c r="F444" s="41" t="inlineStr">
        <is>
          <t>Medium</t>
        </is>
      </c>
      <c r="G444" s="41" t="inlineStr">
        <is>
          <t>Medium</t>
        </is>
      </c>
      <c r="H444" s="38" t="inlineStr">
        <is>
          <t>tianyzh@umich.edu</t>
        </is>
      </c>
      <c r="I444" s="38" t="inlineStr">
        <is>
          <t>2026-04-02</t>
        </is>
      </c>
      <c r="J444" s="38" t="n"/>
      <c r="K444" s="38" t="inlineStr">
        <is>
          <t>NO</t>
        </is>
      </c>
      <c r="L444" s="39" t="inlineStr">
        <is>
          <t>New Lead</t>
        </is>
      </c>
      <c r="M444" s="38" t="n"/>
      <c r="N444" s="38" t="n"/>
      <c r="O444" s="38" t="n"/>
      <c r="P444" s="38" t="n">
        <v>2500</v>
      </c>
      <c r="Q444" s="38" t="n">
        <v>0</v>
      </c>
      <c r="R444" s="40">
        <f>IF(J444="","",TODAY()-DATE(LEFT(J444,4)*1,MID(J444,6,2)*1,RIGHT(J444,2)*1))</f>
        <v/>
      </c>
    </row>
    <row r="445" ht="18" customHeight="1" s="31">
      <c r="A445" s="34" t="n">
        <v>443</v>
      </c>
      <c r="B445" s="34" t="inlineStr">
        <is>
          <t>Benjamin</t>
        </is>
      </c>
      <c r="C445" s="34" t="inlineStr">
        <is>
          <t>Zubaly</t>
        </is>
      </c>
      <c r="D445" s="34" t="inlineStr">
        <is>
          <t>University of Michigan</t>
        </is>
      </c>
      <c r="E445" s="34" t="inlineStr">
        <is>
          <t>Social Psychology</t>
        </is>
      </c>
      <c r="F445" s="35" t="inlineStr">
        <is>
          <t>High</t>
        </is>
      </c>
      <c r="G445" s="35" t="inlineStr">
        <is>
          <t>High</t>
        </is>
      </c>
      <c r="H445" s="34" t="inlineStr">
        <is>
          <t>bzubaly@umich.edu</t>
        </is>
      </c>
      <c r="I445" s="34" t="inlineStr">
        <is>
          <t>2026-04-02</t>
        </is>
      </c>
      <c r="J445" s="34" t="n"/>
      <c r="K445" s="34" t="inlineStr">
        <is>
          <t>NO</t>
        </is>
      </c>
      <c r="L445" s="36" t="inlineStr">
        <is>
          <t>New Lead</t>
        </is>
      </c>
      <c r="M445" s="34" t="n"/>
      <c r="N445" s="34" t="n"/>
      <c r="O445" s="34" t="n"/>
      <c r="P445" s="34" t="n">
        <v>2500</v>
      </c>
      <c r="Q445" s="34" t="n">
        <v>0</v>
      </c>
      <c r="R445" s="37">
        <f>IF(J445="","",TODAY()-DATE(LEFT(J445,4)*1,MID(J445,6,2)*1,RIGHT(J445,2)*1))</f>
        <v/>
      </c>
    </row>
    <row r="446" ht="18" customHeight="1" s="31">
      <c r="A446" s="38" t="n">
        <v>444</v>
      </c>
      <c r="B446" s="38" t="inlineStr">
        <is>
          <t>Marisela</t>
        </is>
      </c>
      <c r="C446" s="38" t="inlineStr">
        <is>
          <t>Aguilar</t>
        </is>
      </c>
      <c r="D446" s="38" t="inlineStr">
        <is>
          <t>West Virginia University</t>
        </is>
      </c>
      <c r="E446" s="38" t="inlineStr">
        <is>
          <t>Behavior Analysis</t>
        </is>
      </c>
      <c r="F446" s="35" t="inlineStr">
        <is>
          <t>High</t>
        </is>
      </c>
      <c r="G446" s="35" t="inlineStr">
        <is>
          <t>High</t>
        </is>
      </c>
      <c r="H446" s="38" t="inlineStr">
        <is>
          <t>maa00019@mix.wvu.edu</t>
        </is>
      </c>
      <c r="I446" s="38" t="inlineStr">
        <is>
          <t>2026-04-02</t>
        </is>
      </c>
      <c r="J446" s="38" t="n"/>
      <c r="K446" s="38" t="inlineStr">
        <is>
          <t>NO</t>
        </is>
      </c>
      <c r="L446" s="39" t="inlineStr">
        <is>
          <t>New Lead</t>
        </is>
      </c>
      <c r="M446" s="38" t="n"/>
      <c r="N446" s="38" t="n"/>
      <c r="O446" s="38" t="n"/>
      <c r="P446" s="38" t="n">
        <v>2500</v>
      </c>
      <c r="Q446" s="38" t="n">
        <v>0</v>
      </c>
      <c r="R446" s="40">
        <f>IF(J446="","",TODAY()-DATE(LEFT(J446,4)*1,MID(J446,6,2)*1,RIGHT(J446,2)*1))</f>
        <v/>
      </c>
    </row>
    <row r="447" ht="18" customHeight="1" s="31">
      <c r="A447" s="34" t="n">
        <v>445</v>
      </c>
      <c r="B447" s="34" t="inlineStr">
        <is>
          <t>Ka'ala</t>
        </is>
      </c>
      <c r="C447" s="34" t="inlineStr">
        <is>
          <t>Bajo</t>
        </is>
      </c>
      <c r="D447" s="34" t="inlineStr">
        <is>
          <t>West Virginia University</t>
        </is>
      </c>
      <c r="E447" s="34" t="inlineStr">
        <is>
          <t>Behavior Analysis</t>
        </is>
      </c>
      <c r="F447" s="35" t="inlineStr">
        <is>
          <t>High</t>
        </is>
      </c>
      <c r="G447" s="35" t="inlineStr">
        <is>
          <t>High</t>
        </is>
      </c>
      <c r="H447" s="34" t="inlineStr">
        <is>
          <t>kkb00007@mix.wvu.edu</t>
        </is>
      </c>
      <c r="I447" s="34" t="inlineStr">
        <is>
          <t>2026-04-02</t>
        </is>
      </c>
      <c r="J447" s="34" t="n"/>
      <c r="K447" s="34" t="inlineStr">
        <is>
          <t>NO</t>
        </is>
      </c>
      <c r="L447" s="36" t="inlineStr">
        <is>
          <t>New Lead</t>
        </is>
      </c>
      <c r="M447" s="34" t="n"/>
      <c r="N447" s="34" t="n"/>
      <c r="O447" s="34" t="n"/>
      <c r="P447" s="34" t="n">
        <v>2500</v>
      </c>
      <c r="Q447" s="34" t="n">
        <v>0</v>
      </c>
      <c r="R447" s="37">
        <f>IF(J447="","",TODAY()-DATE(LEFT(J447,4)*1,MID(J447,6,2)*1,RIGHT(J447,2)*1))</f>
        <v/>
      </c>
    </row>
    <row r="448" ht="18" customHeight="1" s="31">
      <c r="A448" s="38" t="n">
        <v>446</v>
      </c>
      <c r="B448" s="38" t="inlineStr">
        <is>
          <t>Amina</t>
        </is>
      </c>
      <c r="C448" s="38" t="inlineStr">
        <is>
          <t>Boukhris</t>
        </is>
      </c>
      <c r="D448" s="38" t="inlineStr">
        <is>
          <t>West Virginia University</t>
        </is>
      </c>
      <c r="E448" s="38" t="inlineStr">
        <is>
          <t>Behavior Analysis</t>
        </is>
      </c>
      <c r="F448" s="35" t="inlineStr">
        <is>
          <t>High</t>
        </is>
      </c>
      <c r="G448" s="35" t="inlineStr">
        <is>
          <t>High</t>
        </is>
      </c>
      <c r="H448" s="38" t="inlineStr">
        <is>
          <t>ab0286@mix.wvu.edu</t>
        </is>
      </c>
      <c r="I448" s="38" t="inlineStr">
        <is>
          <t>2026-04-02</t>
        </is>
      </c>
      <c r="J448" s="38" t="n"/>
      <c r="K448" s="38" t="inlineStr">
        <is>
          <t>NO</t>
        </is>
      </c>
      <c r="L448" s="39" t="inlineStr">
        <is>
          <t>New Lead</t>
        </is>
      </c>
      <c r="M448" s="38" t="n"/>
      <c r="N448" s="38" t="n"/>
      <c r="O448" s="38" t="n"/>
      <c r="P448" s="38" t="n">
        <v>2500</v>
      </c>
      <c r="Q448" s="38" t="n">
        <v>0</v>
      </c>
      <c r="R448" s="40">
        <f>IF(J448="","",TODAY()-DATE(LEFT(J448,4)*1,MID(J448,6,2)*1,RIGHT(J448,2)*1))</f>
        <v/>
      </c>
    </row>
    <row r="449" ht="18" customHeight="1" s="31">
      <c r="A449" s="34" t="n">
        <v>447</v>
      </c>
      <c r="B449" s="34" t="inlineStr">
        <is>
          <t>Abbie</t>
        </is>
      </c>
      <c r="C449" s="34" t="inlineStr">
        <is>
          <t>Cooper</t>
        </is>
      </c>
      <c r="D449" s="34" t="inlineStr">
        <is>
          <t>West Virginia University</t>
        </is>
      </c>
      <c r="E449" s="34" t="inlineStr">
        <is>
          <t>Behavior Analysis</t>
        </is>
      </c>
      <c r="F449" s="35" t="inlineStr">
        <is>
          <t>High</t>
        </is>
      </c>
      <c r="G449" s="35" t="inlineStr">
        <is>
          <t>High</t>
        </is>
      </c>
      <c r="H449" s="34" t="inlineStr">
        <is>
          <t>ac00135@mix.wvu.edu</t>
        </is>
      </c>
      <c r="I449" s="34" t="inlineStr">
        <is>
          <t>2026-04-02</t>
        </is>
      </c>
      <c r="J449" s="34" t="n"/>
      <c r="K449" s="34" t="inlineStr">
        <is>
          <t>NO</t>
        </is>
      </c>
      <c r="L449" s="36" t="inlineStr">
        <is>
          <t>New Lead</t>
        </is>
      </c>
      <c r="M449" s="34" t="n"/>
      <c r="N449" s="34" t="n"/>
      <c r="O449" s="34" t="n"/>
      <c r="P449" s="34" t="n">
        <v>2500</v>
      </c>
      <c r="Q449" s="34" t="n">
        <v>0</v>
      </c>
      <c r="R449" s="37">
        <f>IF(J449="","",TODAY()-DATE(LEFT(J449,4)*1,MID(J449,6,2)*1,RIGHT(J449,2)*1))</f>
        <v/>
      </c>
    </row>
    <row r="450" ht="18" customHeight="1" s="31">
      <c r="A450" s="38" t="n">
        <v>448</v>
      </c>
      <c r="B450" s="38" t="inlineStr">
        <is>
          <t>Katie</t>
        </is>
      </c>
      <c r="C450" s="38" t="inlineStr">
        <is>
          <t>Cucinotta</t>
        </is>
      </c>
      <c r="D450" s="38" t="inlineStr">
        <is>
          <t>West Virginia University</t>
        </is>
      </c>
      <c r="E450" s="38" t="inlineStr">
        <is>
          <t>Behavior Analysis</t>
        </is>
      </c>
      <c r="F450" s="35" t="inlineStr">
        <is>
          <t>High</t>
        </is>
      </c>
      <c r="G450" s="35" t="inlineStr">
        <is>
          <t>High</t>
        </is>
      </c>
      <c r="H450" s="38" t="inlineStr">
        <is>
          <t>kc00041@mix.wvu.edu</t>
        </is>
      </c>
      <c r="I450" s="38" t="inlineStr">
        <is>
          <t>2026-04-02</t>
        </is>
      </c>
      <c r="J450" s="38" t="n"/>
      <c r="K450" s="38" t="inlineStr">
        <is>
          <t>NO</t>
        </is>
      </c>
      <c r="L450" s="39" t="inlineStr">
        <is>
          <t>New Lead</t>
        </is>
      </c>
      <c r="M450" s="38" t="n"/>
      <c r="N450" s="38" t="n"/>
      <c r="O450" s="38" t="n"/>
      <c r="P450" s="38" t="n">
        <v>2500</v>
      </c>
      <c r="Q450" s="38" t="n">
        <v>0</v>
      </c>
      <c r="R450" s="40">
        <f>IF(J450="","",TODAY()-DATE(LEFT(J450,4)*1,MID(J450,6,2)*1,RIGHT(J450,2)*1))</f>
        <v/>
      </c>
    </row>
    <row r="451" ht="18" customHeight="1" s="31">
      <c r="A451" s="34" t="n">
        <v>449</v>
      </c>
      <c r="B451" s="34" t="inlineStr">
        <is>
          <t>Stephen</t>
        </is>
      </c>
      <c r="C451" s="34" t="inlineStr">
        <is>
          <t>Cullinan</t>
        </is>
      </c>
      <c r="D451" s="34" t="inlineStr">
        <is>
          <t>West Virginia University</t>
        </is>
      </c>
      <c r="E451" s="34" t="inlineStr">
        <is>
          <t>Behavior Analysis</t>
        </is>
      </c>
      <c r="F451" s="35" t="inlineStr">
        <is>
          <t>High</t>
        </is>
      </c>
      <c r="G451" s="35" t="inlineStr">
        <is>
          <t>High</t>
        </is>
      </c>
      <c r="H451" s="34" t="inlineStr">
        <is>
          <t>sjc00036@mix.wvu.edu</t>
        </is>
      </c>
      <c r="I451" s="34" t="inlineStr">
        <is>
          <t>2026-04-02</t>
        </is>
      </c>
      <c r="J451" s="34" t="n"/>
      <c r="K451" s="34" t="inlineStr">
        <is>
          <t>NO</t>
        </is>
      </c>
      <c r="L451" s="36" t="inlineStr">
        <is>
          <t>New Lead</t>
        </is>
      </c>
      <c r="M451" s="34" t="n"/>
      <c r="N451" s="34" t="n"/>
      <c r="O451" s="34" t="n"/>
      <c r="P451" s="34" t="n">
        <v>2500</v>
      </c>
      <c r="Q451" s="34" t="n">
        <v>0</v>
      </c>
      <c r="R451" s="37">
        <f>IF(J451="","",TODAY()-DATE(LEFT(J451,4)*1,MID(J451,6,2)*1,RIGHT(J451,2)*1))</f>
        <v/>
      </c>
    </row>
    <row r="452" ht="18" customHeight="1" s="31">
      <c r="A452" s="38" t="n">
        <v>450</v>
      </c>
      <c r="B452" s="38" t="inlineStr">
        <is>
          <t>Olivia</t>
        </is>
      </c>
      <c r="C452" s="38" t="inlineStr">
        <is>
          <t>Harvey</t>
        </is>
      </c>
      <c r="D452" s="38" t="inlineStr">
        <is>
          <t>West Virginia University</t>
        </is>
      </c>
      <c r="E452" s="38" t="inlineStr">
        <is>
          <t>Behavior Analysis</t>
        </is>
      </c>
      <c r="F452" s="35" t="inlineStr">
        <is>
          <t>High</t>
        </is>
      </c>
      <c r="G452" s="35" t="inlineStr">
        <is>
          <t>High</t>
        </is>
      </c>
      <c r="H452" s="38" t="inlineStr">
        <is>
          <t>obh00001@mix.wvu.edu</t>
        </is>
      </c>
      <c r="I452" s="38" t="inlineStr">
        <is>
          <t>2026-04-02</t>
        </is>
      </c>
      <c r="J452" s="38" t="n"/>
      <c r="K452" s="38" t="inlineStr">
        <is>
          <t>NO</t>
        </is>
      </c>
      <c r="L452" s="39" t="inlineStr">
        <is>
          <t>New Lead</t>
        </is>
      </c>
      <c r="M452" s="38" t="n"/>
      <c r="N452" s="38" t="n"/>
      <c r="O452" s="38" t="n"/>
      <c r="P452" s="38" t="n">
        <v>2500</v>
      </c>
      <c r="Q452" s="38" t="n">
        <v>0</v>
      </c>
      <c r="R452" s="40">
        <f>IF(J452="","",TODAY()-DATE(LEFT(J452,4)*1,MID(J452,6,2)*1,RIGHT(J452,2)*1))</f>
        <v/>
      </c>
    </row>
    <row r="453" ht="18" customHeight="1" s="31">
      <c r="A453" s="34" t="n">
        <v>451</v>
      </c>
      <c r="B453" s="34" t="inlineStr">
        <is>
          <t>Connor</t>
        </is>
      </c>
      <c r="C453" s="34" t="inlineStr">
        <is>
          <t>Lambert</t>
        </is>
      </c>
      <c r="D453" s="34" t="inlineStr">
        <is>
          <t>West Virginia University</t>
        </is>
      </c>
      <c r="E453" s="34" t="inlineStr">
        <is>
          <t>Behavior Analysis</t>
        </is>
      </c>
      <c r="F453" s="35" t="inlineStr">
        <is>
          <t>High</t>
        </is>
      </c>
      <c r="G453" s="35" t="inlineStr">
        <is>
          <t>High</t>
        </is>
      </c>
      <c r="H453" s="34" t="inlineStr">
        <is>
          <t>cml00030@mix.wvu.edu</t>
        </is>
      </c>
      <c r="I453" s="34" t="inlineStr">
        <is>
          <t>2026-04-02</t>
        </is>
      </c>
      <c r="J453" s="34" t="n"/>
      <c r="K453" s="34" t="inlineStr">
        <is>
          <t>NO</t>
        </is>
      </c>
      <c r="L453" s="36" t="inlineStr">
        <is>
          <t>New Lead</t>
        </is>
      </c>
      <c r="M453" s="34" t="n"/>
      <c r="N453" s="34" t="n"/>
      <c r="O453" s="34" t="n"/>
      <c r="P453" s="34" t="n">
        <v>2500</v>
      </c>
      <c r="Q453" s="34" t="n">
        <v>0</v>
      </c>
      <c r="R453" s="37">
        <f>IF(J453="","",TODAY()-DATE(LEFT(J453,4)*1,MID(J453,6,2)*1,RIGHT(J453,2)*1))</f>
        <v/>
      </c>
    </row>
    <row r="454" ht="18" customHeight="1" s="31">
      <c r="A454" s="38" t="n">
        <v>452</v>
      </c>
      <c r="B454" s="38" t="inlineStr">
        <is>
          <t>Haillie</t>
        </is>
      </c>
      <c r="C454" s="38" t="inlineStr">
        <is>
          <t>McDonough</t>
        </is>
      </c>
      <c r="D454" s="38" t="inlineStr">
        <is>
          <t>West Virginia University</t>
        </is>
      </c>
      <c r="E454" s="38" t="inlineStr">
        <is>
          <t>Behavior Analysis</t>
        </is>
      </c>
      <c r="F454" s="35" t="inlineStr">
        <is>
          <t>High</t>
        </is>
      </c>
      <c r="G454" s="35" t="inlineStr">
        <is>
          <t>High</t>
        </is>
      </c>
      <c r="H454" s="38" t="inlineStr">
        <is>
          <t>hcm00023@mix.wvu.edu</t>
        </is>
      </c>
      <c r="I454" s="38" t="inlineStr">
        <is>
          <t>2026-04-02</t>
        </is>
      </c>
      <c r="J454" s="38" t="n"/>
      <c r="K454" s="38" t="inlineStr">
        <is>
          <t>NO</t>
        </is>
      </c>
      <c r="L454" s="39" t="inlineStr">
        <is>
          <t>New Lead</t>
        </is>
      </c>
      <c r="M454" s="38" t="n"/>
      <c r="N454" s="38" t="n"/>
      <c r="O454" s="38" t="n"/>
      <c r="P454" s="38" t="n">
        <v>2500</v>
      </c>
      <c r="Q454" s="38" t="n">
        <v>0</v>
      </c>
      <c r="R454" s="40">
        <f>IF(J454="","",TODAY()-DATE(LEFT(J454,4)*1,MID(J454,6,2)*1,RIGHT(J454,2)*1))</f>
        <v/>
      </c>
    </row>
    <row r="455" ht="18" customHeight="1" s="31">
      <c r="A455" s="34" t="n">
        <v>453</v>
      </c>
      <c r="B455" s="34" t="inlineStr">
        <is>
          <t>Samantha</t>
        </is>
      </c>
      <c r="C455" s="34" t="inlineStr">
        <is>
          <t>Moon</t>
        </is>
      </c>
      <c r="D455" s="34" t="inlineStr">
        <is>
          <t>West Virginia University</t>
        </is>
      </c>
      <c r="E455" s="34" t="inlineStr">
        <is>
          <t>Behavior Analysis</t>
        </is>
      </c>
      <c r="F455" s="35" t="inlineStr">
        <is>
          <t>High</t>
        </is>
      </c>
      <c r="G455" s="35" t="inlineStr">
        <is>
          <t>High</t>
        </is>
      </c>
      <c r="H455" s="34" t="inlineStr">
        <is>
          <t>slm00031@mix.wvu.edu</t>
        </is>
      </c>
      <c r="I455" s="34" t="inlineStr">
        <is>
          <t>2026-04-02</t>
        </is>
      </c>
      <c r="J455" s="34" t="n"/>
      <c r="K455" s="34" t="inlineStr">
        <is>
          <t>NO</t>
        </is>
      </c>
      <c r="L455" s="36" t="inlineStr">
        <is>
          <t>New Lead</t>
        </is>
      </c>
      <c r="M455" s="34" t="n"/>
      <c r="N455" s="34" t="n"/>
      <c r="O455" s="34" t="n"/>
      <c r="P455" s="34" t="n">
        <v>2500</v>
      </c>
      <c r="Q455" s="34" t="n">
        <v>0</v>
      </c>
      <c r="R455" s="37">
        <f>IF(J455="","",TODAY()-DATE(LEFT(J455,4)*1,MID(J455,6,2)*1,RIGHT(J455,2)*1))</f>
        <v/>
      </c>
    </row>
    <row r="456" ht="18" customHeight="1" s="31">
      <c r="A456" s="38" t="n">
        <v>454</v>
      </c>
      <c r="B456" s="38" t="inlineStr">
        <is>
          <t>Ciara</t>
        </is>
      </c>
      <c r="C456" s="38" t="inlineStr">
        <is>
          <t>Rodriguez</t>
        </is>
      </c>
      <c r="D456" s="38" t="inlineStr">
        <is>
          <t>West Virginia University</t>
        </is>
      </c>
      <c r="E456" s="38" t="inlineStr">
        <is>
          <t>Behavior Analysis</t>
        </is>
      </c>
      <c r="F456" s="35" t="inlineStr">
        <is>
          <t>High</t>
        </is>
      </c>
      <c r="G456" s="35" t="inlineStr">
        <is>
          <t>High</t>
        </is>
      </c>
      <c r="H456" s="38" t="inlineStr">
        <is>
          <t>cr00078@mix.wvu.edu</t>
        </is>
      </c>
      <c r="I456" s="38" t="inlineStr">
        <is>
          <t>2026-04-02</t>
        </is>
      </c>
      <c r="J456" s="38" t="n"/>
      <c r="K456" s="38" t="inlineStr">
        <is>
          <t>NO</t>
        </is>
      </c>
      <c r="L456" s="39" t="inlineStr">
        <is>
          <t>New Lead</t>
        </is>
      </c>
      <c r="M456" s="38" t="n"/>
      <c r="N456" s="38" t="n"/>
      <c r="O456" s="38" t="n"/>
      <c r="P456" s="38" t="n">
        <v>2500</v>
      </c>
      <c r="Q456" s="38" t="n">
        <v>0</v>
      </c>
      <c r="R456" s="40">
        <f>IF(J456="","",TODAY()-DATE(LEFT(J456,4)*1,MID(J456,6,2)*1,RIGHT(J456,2)*1))</f>
        <v/>
      </c>
    </row>
    <row r="457" ht="18" customHeight="1" s="31">
      <c r="A457" s="34" t="n">
        <v>455</v>
      </c>
      <c r="B457" s="34" t="inlineStr">
        <is>
          <t>Ryleigh</t>
        </is>
      </c>
      <c r="C457" s="34" t="inlineStr">
        <is>
          <t>Rosta</t>
        </is>
      </c>
      <c r="D457" s="34" t="inlineStr">
        <is>
          <t>West Virginia University</t>
        </is>
      </c>
      <c r="E457" s="34" t="inlineStr">
        <is>
          <t>Behavior Analysis</t>
        </is>
      </c>
      <c r="F457" s="35" t="inlineStr">
        <is>
          <t>High</t>
        </is>
      </c>
      <c r="G457" s="35" t="inlineStr">
        <is>
          <t>High</t>
        </is>
      </c>
      <c r="H457" s="34" t="inlineStr">
        <is>
          <t>rkr00001@mix.wvu.edu</t>
        </is>
      </c>
      <c r="I457" s="34" t="inlineStr">
        <is>
          <t>2026-04-02</t>
        </is>
      </c>
      <c r="J457" s="34" t="n"/>
      <c r="K457" s="34" t="inlineStr">
        <is>
          <t>NO</t>
        </is>
      </c>
      <c r="L457" s="36" t="inlineStr">
        <is>
          <t>New Lead</t>
        </is>
      </c>
      <c r="M457" s="34" t="n"/>
      <c r="N457" s="34" t="n"/>
      <c r="O457" s="34" t="n"/>
      <c r="P457" s="34" t="n">
        <v>2500</v>
      </c>
      <c r="Q457" s="34" t="n">
        <v>0</v>
      </c>
      <c r="R457" s="37">
        <f>IF(J457="","",TODAY()-DATE(LEFT(J457,4)*1,MID(J457,6,2)*1,RIGHT(J457,2)*1))</f>
        <v/>
      </c>
    </row>
    <row r="458" ht="18" customHeight="1" s="31">
      <c r="A458" s="38" t="n">
        <v>456</v>
      </c>
      <c r="B458" s="38" t="inlineStr">
        <is>
          <t>Corynn</t>
        </is>
      </c>
      <c r="C458" s="38" t="inlineStr">
        <is>
          <t>Simon</t>
        </is>
      </c>
      <c r="D458" s="38" t="inlineStr">
        <is>
          <t>West Virginia University</t>
        </is>
      </c>
      <c r="E458" s="38" t="inlineStr">
        <is>
          <t>Behavior Analysis</t>
        </is>
      </c>
      <c r="F458" s="35" t="inlineStr">
        <is>
          <t>High</t>
        </is>
      </c>
      <c r="G458" s="35" t="inlineStr">
        <is>
          <t>High</t>
        </is>
      </c>
      <c r="H458" s="38" t="inlineStr">
        <is>
          <t>cs00179@mix.wvu.edu</t>
        </is>
      </c>
      <c r="I458" s="38" t="inlineStr">
        <is>
          <t>2026-04-02</t>
        </is>
      </c>
      <c r="J458" s="38" t="n"/>
      <c r="K458" s="38" t="inlineStr">
        <is>
          <t>NO</t>
        </is>
      </c>
      <c r="L458" s="39" t="inlineStr">
        <is>
          <t>New Lead</t>
        </is>
      </c>
      <c r="M458" s="38" t="n"/>
      <c r="N458" s="38" t="n"/>
      <c r="O458" s="38" t="n"/>
      <c r="P458" s="38" t="n">
        <v>2500</v>
      </c>
      <c r="Q458" s="38" t="n">
        <v>0</v>
      </c>
      <c r="R458" s="40">
        <f>IF(J458="","",TODAY()-DATE(LEFT(J458,4)*1,MID(J458,6,2)*1,RIGHT(J458,2)*1))</f>
        <v/>
      </c>
    </row>
    <row r="459" ht="18" customHeight="1" s="31">
      <c r="A459" s="34" t="n">
        <v>457</v>
      </c>
      <c r="B459" s="34" t="inlineStr">
        <is>
          <t>Lillian</t>
        </is>
      </c>
      <c r="C459" s="34" t="inlineStr">
        <is>
          <t>Skiba-Thayer</t>
        </is>
      </c>
      <c r="D459" s="34" t="inlineStr">
        <is>
          <t>West Virginia University</t>
        </is>
      </c>
      <c r="E459" s="34" t="inlineStr">
        <is>
          <t>Behavior Analysis</t>
        </is>
      </c>
      <c r="F459" s="35" t="inlineStr">
        <is>
          <t>High</t>
        </is>
      </c>
      <c r="G459" s="35" t="inlineStr">
        <is>
          <t>High</t>
        </is>
      </c>
      <c r="H459" s="34" t="inlineStr">
        <is>
          <t>lls00007@mix.wvu.edu</t>
        </is>
      </c>
      <c r="I459" s="34" t="inlineStr">
        <is>
          <t>2026-04-02</t>
        </is>
      </c>
      <c r="J459" s="34" t="n"/>
      <c r="K459" s="34" t="inlineStr">
        <is>
          <t>NO</t>
        </is>
      </c>
      <c r="L459" s="36" t="inlineStr">
        <is>
          <t>New Lead</t>
        </is>
      </c>
      <c r="M459" s="34" t="n"/>
      <c r="N459" s="34" t="n"/>
      <c r="O459" s="34" t="n"/>
      <c r="P459" s="34" t="n">
        <v>2500</v>
      </c>
      <c r="Q459" s="34" t="n">
        <v>0</v>
      </c>
      <c r="R459" s="37">
        <f>IF(J459="","",TODAY()-DATE(LEFT(J459,4)*1,MID(J459,6,2)*1,RIGHT(J459,2)*1))</f>
        <v/>
      </c>
    </row>
    <row r="460" ht="18" customHeight="1" s="31">
      <c r="A460" s="38" t="n">
        <v>458</v>
      </c>
      <c r="B460" s="38" t="inlineStr">
        <is>
          <t>Morgan</t>
        </is>
      </c>
      <c r="C460" s="38" t="inlineStr">
        <is>
          <t>Treadwell</t>
        </is>
      </c>
      <c r="D460" s="38" t="inlineStr">
        <is>
          <t>West Virginia University</t>
        </is>
      </c>
      <c r="E460" s="38" t="inlineStr">
        <is>
          <t>Behavior Analysis</t>
        </is>
      </c>
      <c r="F460" s="35" t="inlineStr">
        <is>
          <t>High</t>
        </is>
      </c>
      <c r="G460" s="35" t="inlineStr">
        <is>
          <t>High</t>
        </is>
      </c>
      <c r="H460" s="38" t="inlineStr">
        <is>
          <t>mct00023@mix.wvu.edu</t>
        </is>
      </c>
      <c r="I460" s="38" t="inlineStr">
        <is>
          <t>2026-04-02</t>
        </is>
      </c>
      <c r="J460" s="38" t="n"/>
      <c r="K460" s="38" t="inlineStr">
        <is>
          <t>NO</t>
        </is>
      </c>
      <c r="L460" s="39" t="inlineStr">
        <is>
          <t>New Lead</t>
        </is>
      </c>
      <c r="M460" s="38" t="n"/>
      <c r="N460" s="38" t="n"/>
      <c r="O460" s="38" t="n"/>
      <c r="P460" s="38" t="n">
        <v>2500</v>
      </c>
      <c r="Q460" s="38" t="n">
        <v>0</v>
      </c>
      <c r="R460" s="40">
        <f>IF(J460="","",TODAY()-DATE(LEFT(J460,4)*1,MID(J460,6,2)*1,RIGHT(J460,2)*1))</f>
        <v/>
      </c>
    </row>
    <row r="461" ht="18" customHeight="1" s="31">
      <c r="A461" s="34" t="n">
        <v>459</v>
      </c>
      <c r="B461" s="34" t="inlineStr">
        <is>
          <t>Braden</t>
        </is>
      </c>
      <c r="C461" s="34" t="inlineStr">
        <is>
          <t>Toler</t>
        </is>
      </c>
      <c r="D461" s="34" t="inlineStr">
        <is>
          <t>West Virginia University</t>
        </is>
      </c>
      <c r="E461" s="34" t="inlineStr">
        <is>
          <t>Behavior Analysis</t>
        </is>
      </c>
      <c r="F461" s="35" t="inlineStr">
        <is>
          <t>High</t>
        </is>
      </c>
      <c r="G461" s="35" t="inlineStr">
        <is>
          <t>High</t>
        </is>
      </c>
      <c r="H461" s="34" t="inlineStr">
        <is>
          <t>bjt0021@mix.wvu.edu</t>
        </is>
      </c>
      <c r="I461" s="34" t="inlineStr">
        <is>
          <t>2026-04-02</t>
        </is>
      </c>
      <c r="J461" s="34" t="n"/>
      <c r="K461" s="34" t="inlineStr">
        <is>
          <t>NO</t>
        </is>
      </c>
      <c r="L461" s="36" t="inlineStr">
        <is>
          <t>New Lead</t>
        </is>
      </c>
      <c r="M461" s="34" t="n"/>
      <c r="N461" s="34" t="n"/>
      <c r="O461" s="34" t="n"/>
      <c r="P461" s="34" t="n">
        <v>2500</v>
      </c>
      <c r="Q461" s="34" t="n">
        <v>0</v>
      </c>
      <c r="R461" s="37">
        <f>IF(J461="","",TODAY()-DATE(LEFT(J461,4)*1,MID(J461,6,2)*1,RIGHT(J461,2)*1))</f>
        <v/>
      </c>
    </row>
    <row r="462" ht="18" customHeight="1" s="31">
      <c r="A462" s="38" t="n">
        <v>460</v>
      </c>
      <c r="B462" s="38" t="inlineStr">
        <is>
          <t>Laura</t>
        </is>
      </c>
      <c r="C462" s="38" t="inlineStr">
        <is>
          <t>Vining</t>
        </is>
      </c>
      <c r="D462" s="38" t="inlineStr">
        <is>
          <t>West Virginia University</t>
        </is>
      </c>
      <c r="E462" s="38" t="inlineStr">
        <is>
          <t>Behavior Analysis</t>
        </is>
      </c>
      <c r="F462" s="35" t="inlineStr">
        <is>
          <t>High</t>
        </is>
      </c>
      <c r="G462" s="35" t="inlineStr">
        <is>
          <t>High</t>
        </is>
      </c>
      <c r="H462" s="38" t="inlineStr">
        <is>
          <t>lv00026@mix.wvu.edu</t>
        </is>
      </c>
      <c r="I462" s="38" t="inlineStr">
        <is>
          <t>2026-04-02</t>
        </is>
      </c>
      <c r="J462" s="38" t="n"/>
      <c r="K462" s="38" t="inlineStr">
        <is>
          <t>NO</t>
        </is>
      </c>
      <c r="L462" s="39" t="inlineStr">
        <is>
          <t>New Lead</t>
        </is>
      </c>
      <c r="M462" s="38" t="n"/>
      <c r="N462" s="38" t="n"/>
      <c r="O462" s="38" t="n"/>
      <c r="P462" s="38" t="n">
        <v>2500</v>
      </c>
      <c r="Q462" s="38" t="n">
        <v>0</v>
      </c>
      <c r="R462" s="40">
        <f>IF(J462="","",TODAY()-DATE(LEFT(J462,4)*1,MID(J462,6,2)*1,RIGHT(J462,2)*1))</f>
        <v/>
      </c>
    </row>
    <row r="463" ht="18" customHeight="1" s="31">
      <c r="A463" s="34" t="n">
        <v>461</v>
      </c>
      <c r="B463" s="34" t="inlineStr">
        <is>
          <t>Erin</t>
        </is>
      </c>
      <c r="C463" s="34" t="inlineStr">
        <is>
          <t>Wylie</t>
        </is>
      </c>
      <c r="D463" s="34" t="inlineStr">
        <is>
          <t>West Virginia University</t>
        </is>
      </c>
      <c r="E463" s="34" t="inlineStr">
        <is>
          <t>Behavior Analysis</t>
        </is>
      </c>
      <c r="F463" s="35" t="inlineStr">
        <is>
          <t>High</t>
        </is>
      </c>
      <c r="G463" s="35" t="inlineStr">
        <is>
          <t>High</t>
        </is>
      </c>
      <c r="H463" s="34" t="inlineStr">
        <is>
          <t>eew00007@mix.wvu.edu</t>
        </is>
      </c>
      <c r="I463" s="34" t="inlineStr">
        <is>
          <t>2026-04-02</t>
        </is>
      </c>
      <c r="J463" s="34" t="n"/>
      <c r="K463" s="34" t="inlineStr">
        <is>
          <t>NO</t>
        </is>
      </c>
      <c r="L463" s="36" t="inlineStr">
        <is>
          <t>New Lead</t>
        </is>
      </c>
      <c r="M463" s="34" t="n"/>
      <c r="N463" s="34" t="n"/>
      <c r="O463" s="34" t="n"/>
      <c r="P463" s="34" t="n">
        <v>2500</v>
      </c>
      <c r="Q463" s="34" t="n">
        <v>0</v>
      </c>
      <c r="R463" s="37">
        <f>IF(J463="","",TODAY()-DATE(LEFT(J463,4)*1,MID(J463,6,2)*1,RIGHT(J463,2)*1))</f>
        <v/>
      </c>
    </row>
    <row r="464" ht="18" customHeight="1" s="31">
      <c r="A464" s="38" t="n">
        <v>462</v>
      </c>
      <c r="B464" s="38" t="inlineStr">
        <is>
          <t>Carson</t>
        </is>
      </c>
      <c r="C464" s="38" t="inlineStr">
        <is>
          <t>Yahrmarkt</t>
        </is>
      </c>
      <c r="D464" s="38" t="inlineStr">
        <is>
          <t>West Virginia University</t>
        </is>
      </c>
      <c r="E464" s="38" t="inlineStr">
        <is>
          <t>Behavior Analysis</t>
        </is>
      </c>
      <c r="F464" s="35" t="inlineStr">
        <is>
          <t>High</t>
        </is>
      </c>
      <c r="G464" s="35" t="inlineStr">
        <is>
          <t>High</t>
        </is>
      </c>
      <c r="H464" s="38" t="inlineStr">
        <is>
          <t>csy00002@mix.wvu.edu</t>
        </is>
      </c>
      <c r="I464" s="38" t="inlineStr">
        <is>
          <t>2026-04-02</t>
        </is>
      </c>
      <c r="J464" s="38" t="n"/>
      <c r="K464" s="38" t="inlineStr">
        <is>
          <t>NO</t>
        </is>
      </c>
      <c r="L464" s="39" t="inlineStr">
        <is>
          <t>New Lead</t>
        </is>
      </c>
      <c r="M464" s="38" t="n"/>
      <c r="N464" s="38" t="n"/>
      <c r="O464" s="38" t="n"/>
      <c r="P464" s="38" t="n">
        <v>2500</v>
      </c>
      <c r="Q464" s="38" t="n">
        <v>0</v>
      </c>
      <c r="R464" s="40">
        <f>IF(J464="","",TODAY()-DATE(LEFT(J464,4)*1,MID(J464,6,2)*1,RIGHT(J464,2)*1))</f>
        <v/>
      </c>
    </row>
    <row r="465" ht="18" customHeight="1" s="31">
      <c r="A465" s="34" t="n">
        <v>463</v>
      </c>
      <c r="B465" s="34" t="inlineStr">
        <is>
          <t>Kento</t>
        </is>
      </c>
      <c r="C465" s="34" t="inlineStr">
        <is>
          <t>Yasukawa</t>
        </is>
      </c>
      <c r="D465" s="34" t="inlineStr">
        <is>
          <t>West Virginia University</t>
        </is>
      </c>
      <c r="E465" s="34" t="inlineStr">
        <is>
          <t>Behavior Analysis</t>
        </is>
      </c>
      <c r="F465" s="35" t="inlineStr">
        <is>
          <t>High</t>
        </is>
      </c>
      <c r="G465" s="35" t="inlineStr">
        <is>
          <t>High</t>
        </is>
      </c>
      <c r="H465" s="34" t="inlineStr">
        <is>
          <t>ky00008@mix.wvu.edu</t>
        </is>
      </c>
      <c r="I465" s="34" t="inlineStr">
        <is>
          <t>2026-04-02</t>
        </is>
      </c>
      <c r="J465" s="34" t="n"/>
      <c r="K465" s="34" t="inlineStr">
        <is>
          <t>NO</t>
        </is>
      </c>
      <c r="L465" s="36" t="inlineStr">
        <is>
          <t>New Lead</t>
        </is>
      </c>
      <c r="M465" s="34" t="n"/>
      <c r="N465" s="34" t="n"/>
      <c r="O465" s="34" t="n"/>
      <c r="P465" s="34" t="n">
        <v>2500</v>
      </c>
      <c r="Q465" s="34" t="n">
        <v>0</v>
      </c>
      <c r="R465" s="37">
        <f>IF(J465="","",TODAY()-DATE(LEFT(J465,4)*1,MID(J465,6,2)*1,RIGHT(J465,2)*1))</f>
        <v/>
      </c>
    </row>
    <row r="466" ht="18" customHeight="1" s="31">
      <c r="A466" s="38" t="n">
        <v>464</v>
      </c>
      <c r="B466" s="38" t="inlineStr">
        <is>
          <t>Emily</t>
        </is>
      </c>
      <c r="C466" s="38" t="inlineStr">
        <is>
          <t>Bloom</t>
        </is>
      </c>
      <c r="D466" s="38" t="inlineStr">
        <is>
          <t>UCLA</t>
        </is>
      </c>
      <c r="E466" s="38" t="inlineStr">
        <is>
          <t>Doctoral Student, PhD Program</t>
        </is>
      </c>
      <c r="F466" s="41" t="inlineStr">
        <is>
          <t>Medium</t>
        </is>
      </c>
      <c r="G466" s="35" t="inlineStr">
        <is>
          <t>High</t>
        </is>
      </c>
      <c r="H466" s="38" t="inlineStr">
        <is>
          <t>EBloom@sonnet.ucla.edu</t>
        </is>
      </c>
      <c r="I466" s="38" t="inlineStr">
        <is>
          <t>2026-04-02</t>
        </is>
      </c>
      <c r="J466" s="38" t="n"/>
      <c r="K466" s="38" t="inlineStr">
        <is>
          <t>NO</t>
        </is>
      </c>
      <c r="L466" s="39" t="inlineStr">
        <is>
          <t>New Lead</t>
        </is>
      </c>
      <c r="M466" s="38" t="n"/>
      <c r="N466" s="38" t="n"/>
      <c r="O466" s="38" t="n"/>
      <c r="P466" s="38" t="n">
        <v>2500</v>
      </c>
      <c r="Q466" s="38" t="n">
        <v>0</v>
      </c>
      <c r="R466" s="40">
        <f>IF(J466="","",TODAY()-DATE(LEFT(J466,4)*1,MID(J466,6,2)*1,RIGHT(J466,2)*1))</f>
        <v/>
      </c>
    </row>
    <row r="467" ht="18" customHeight="1" s="31">
      <c r="A467" s="34" t="n">
        <v>465</v>
      </c>
      <c r="B467" s="34" t="inlineStr">
        <is>
          <t>Paul</t>
        </is>
      </c>
      <c r="C467" s="34" t="inlineStr">
        <is>
          <t>Boy</t>
        </is>
      </c>
      <c r="D467" s="34" t="inlineStr">
        <is>
          <t>UCLA</t>
        </is>
      </c>
      <c r="E467" s="34" t="inlineStr">
        <is>
          <t>Doctoral Student, PhD Program</t>
        </is>
      </c>
      <c r="F467" s="41" t="inlineStr">
        <is>
          <t>Medium</t>
        </is>
      </c>
      <c r="G467" s="35" t="inlineStr">
        <is>
          <t>High</t>
        </is>
      </c>
      <c r="H467" s="34" t="inlineStr">
        <is>
          <t>paulboy@ucla.edu</t>
        </is>
      </c>
      <c r="I467" s="34" t="inlineStr">
        <is>
          <t>2026-04-02</t>
        </is>
      </c>
      <c r="J467" s="34" t="n"/>
      <c r="K467" s="34" t="inlineStr">
        <is>
          <t>NO</t>
        </is>
      </c>
      <c r="L467" s="36" t="inlineStr">
        <is>
          <t>New Lead</t>
        </is>
      </c>
      <c r="M467" s="34" t="n"/>
      <c r="N467" s="34" t="n"/>
      <c r="O467" s="34" t="n"/>
      <c r="P467" s="34" t="n">
        <v>2500</v>
      </c>
      <c r="Q467" s="34" t="n">
        <v>0</v>
      </c>
      <c r="R467" s="37">
        <f>IF(J467="","",TODAY()-DATE(LEFT(J467,4)*1,MID(J467,6,2)*1,RIGHT(J467,2)*1))</f>
        <v/>
      </c>
    </row>
    <row r="468" ht="18" customHeight="1" s="31">
      <c r="A468" s="38" t="n">
        <v>466</v>
      </c>
      <c r="B468" s="38" t="inlineStr">
        <is>
          <t>Charlotte</t>
        </is>
      </c>
      <c r="C468" s="38" t="inlineStr">
        <is>
          <t>Bryant</t>
        </is>
      </c>
      <c r="D468" s="38" t="inlineStr">
        <is>
          <t>UCLA</t>
        </is>
      </c>
      <c r="E468" s="38" t="inlineStr">
        <is>
          <t>Doctoral Student, PhD Program</t>
        </is>
      </c>
      <c r="F468" s="41" t="inlineStr">
        <is>
          <t>Medium</t>
        </is>
      </c>
      <c r="G468" s="35" t="inlineStr">
        <is>
          <t>High</t>
        </is>
      </c>
      <c r="H468" s="38" t="inlineStr">
        <is>
          <t>cbryant@sonnet.ucla.edu</t>
        </is>
      </c>
      <c r="I468" s="38" t="inlineStr">
        <is>
          <t>2026-04-02</t>
        </is>
      </c>
      <c r="J468" s="38" t="n"/>
      <c r="K468" s="38" t="inlineStr">
        <is>
          <t>NO</t>
        </is>
      </c>
      <c r="L468" s="39" t="inlineStr">
        <is>
          <t>New Lead</t>
        </is>
      </c>
      <c r="M468" s="38" t="n"/>
      <c r="N468" s="38" t="n"/>
      <c r="O468" s="38" t="n"/>
      <c r="P468" s="38" t="n">
        <v>2500</v>
      </c>
      <c r="Q468" s="38" t="n">
        <v>0</v>
      </c>
      <c r="R468" s="40">
        <f>IF(J468="","",TODAY()-DATE(LEFT(J468,4)*1,MID(J468,6,2)*1,RIGHT(J468,2)*1))</f>
        <v/>
      </c>
    </row>
    <row r="469" ht="18" customHeight="1" s="31">
      <c r="A469" s="34" t="n">
        <v>467</v>
      </c>
      <c r="B469" s="34" t="inlineStr">
        <is>
          <t>RN</t>
        </is>
      </c>
      <c r="C469" s="34" t="inlineStr">
        <is>
          <t>Cristina Cabrera-Mino</t>
        </is>
      </c>
      <c r="D469" s="34" t="inlineStr">
        <is>
          <t>UCLA</t>
        </is>
      </c>
      <c r="E469" s="34" t="inlineStr">
        <is>
          <t>Doctoral Student, PhD Program</t>
        </is>
      </c>
      <c r="F469" s="41" t="inlineStr">
        <is>
          <t>Medium</t>
        </is>
      </c>
      <c r="G469" s="35" t="inlineStr">
        <is>
          <t>High</t>
        </is>
      </c>
      <c r="H469" s="34" t="inlineStr">
        <is>
          <t>ccabreram@sonnet.ucla.edu</t>
        </is>
      </c>
      <c r="I469" s="34" t="inlineStr">
        <is>
          <t>2026-04-02</t>
        </is>
      </c>
      <c r="J469" s="34" t="n"/>
      <c r="K469" s="34" t="inlineStr">
        <is>
          <t>NO</t>
        </is>
      </c>
      <c r="L469" s="36" t="inlineStr">
        <is>
          <t>New Lead</t>
        </is>
      </c>
      <c r="M469" s="34" t="n"/>
      <c r="N469" s="34" t="n"/>
      <c r="O469" s="34" t="n"/>
      <c r="P469" s="34" t="n">
        <v>2500</v>
      </c>
      <c r="Q469" s="34" t="n">
        <v>0</v>
      </c>
      <c r="R469" s="37">
        <f>IF(J469="","",TODAY()-DATE(LEFT(J469,4)*1,MID(J469,6,2)*1,RIGHT(J469,2)*1))</f>
        <v/>
      </c>
    </row>
    <row r="470" ht="18" customHeight="1" s="31">
      <c r="A470" s="38" t="n">
        <v>468</v>
      </c>
      <c r="B470" s="38" t="inlineStr">
        <is>
          <t>RN, MSN, CDCES</t>
        </is>
      </c>
      <c r="C470" s="38" t="inlineStr">
        <is>
          <t>Lisa Diaz</t>
        </is>
      </c>
      <c r="D470" s="38" t="inlineStr">
        <is>
          <t>UCLA</t>
        </is>
      </c>
      <c r="E470" s="38" t="inlineStr">
        <is>
          <t>Doctoral Student, PhD Program</t>
        </is>
      </c>
      <c r="F470" s="41" t="inlineStr">
        <is>
          <t>Medium</t>
        </is>
      </c>
      <c r="G470" s="35" t="inlineStr">
        <is>
          <t>High</t>
        </is>
      </c>
      <c r="H470" s="38" t="inlineStr">
        <is>
          <t>LisaDiaz@sonnet.ucla.edu</t>
        </is>
      </c>
      <c r="I470" s="38" t="inlineStr">
        <is>
          <t>2026-04-02</t>
        </is>
      </c>
      <c r="J470" s="38" t="n"/>
      <c r="K470" s="38" t="inlineStr">
        <is>
          <t>NO</t>
        </is>
      </c>
      <c r="L470" s="39" t="inlineStr">
        <is>
          <t>New Lead</t>
        </is>
      </c>
      <c r="M470" s="38" t="n"/>
      <c r="N470" s="38" t="n"/>
      <c r="O470" s="38" t="n"/>
      <c r="P470" s="38" t="n">
        <v>2500</v>
      </c>
      <c r="Q470" s="38" t="n">
        <v>0</v>
      </c>
      <c r="R470" s="40">
        <f>IF(J470="","",TODAY()-DATE(LEFT(J470,4)*1,MID(J470,6,2)*1,RIGHT(J470,2)*1))</f>
        <v/>
      </c>
    </row>
    <row r="471" ht="18" customHeight="1" s="31">
      <c r="A471" s="34" t="n">
        <v>469</v>
      </c>
      <c r="B471" s="34" t="inlineStr">
        <is>
          <t>Lauren</t>
        </is>
      </c>
      <c r="C471" s="34" t="inlineStr">
        <is>
          <t>Furtick</t>
        </is>
      </c>
      <c r="D471" s="34" t="inlineStr">
        <is>
          <t>UCLA</t>
        </is>
      </c>
      <c r="E471" s="34" t="inlineStr">
        <is>
          <t>Doctoral Student, PhD Program</t>
        </is>
      </c>
      <c r="F471" s="41" t="inlineStr">
        <is>
          <t>Medium</t>
        </is>
      </c>
      <c r="G471" s="35" t="inlineStr">
        <is>
          <t>High</t>
        </is>
      </c>
      <c r="H471" s="34" t="inlineStr">
        <is>
          <t>lfurtick@ucla.edu</t>
        </is>
      </c>
      <c r="I471" s="34" t="inlineStr">
        <is>
          <t>2026-04-02</t>
        </is>
      </c>
      <c r="J471" s="34" t="n"/>
      <c r="K471" s="34" t="inlineStr">
        <is>
          <t>NO</t>
        </is>
      </c>
      <c r="L471" s="36" t="inlineStr">
        <is>
          <t>New Lead</t>
        </is>
      </c>
      <c r="M471" s="34" t="n"/>
      <c r="N471" s="34" t="n"/>
      <c r="O471" s="34" t="n"/>
      <c r="P471" s="34" t="n">
        <v>2500</v>
      </c>
      <c r="Q471" s="34" t="n">
        <v>0</v>
      </c>
      <c r="R471" s="37">
        <f>IF(J471="","",TODAY()-DATE(LEFT(J471,4)*1,MID(J471,6,2)*1,RIGHT(J471,2)*1))</f>
        <v/>
      </c>
    </row>
    <row r="472" ht="18" customHeight="1" s="31">
      <c r="A472" s="38" t="n">
        <v>470</v>
      </c>
      <c r="B472" s="38" t="inlineStr">
        <is>
          <t>BSN, RN</t>
        </is>
      </c>
      <c r="C472" s="38" t="inlineStr">
        <is>
          <t>Marianne Gutierrez</t>
        </is>
      </c>
      <c r="D472" s="38" t="inlineStr">
        <is>
          <t>UCLA</t>
        </is>
      </c>
      <c r="E472" s="38" t="inlineStr">
        <is>
          <t>Doctoral Student, PhD Program</t>
        </is>
      </c>
      <c r="F472" s="41" t="inlineStr">
        <is>
          <t>Medium</t>
        </is>
      </c>
      <c r="G472" s="35" t="inlineStr">
        <is>
          <t>High</t>
        </is>
      </c>
      <c r="H472" s="38" t="inlineStr">
        <is>
          <t>MarianeGutierrez@sonnet.ucla.edu</t>
        </is>
      </c>
      <c r="I472" s="38" t="inlineStr">
        <is>
          <t>2026-04-02</t>
        </is>
      </c>
      <c r="J472" s="38" t="n"/>
      <c r="K472" s="38" t="inlineStr">
        <is>
          <t>NO</t>
        </is>
      </c>
      <c r="L472" s="39" t="inlineStr">
        <is>
          <t>New Lead</t>
        </is>
      </c>
      <c r="M472" s="38" t="n"/>
      <c r="N472" s="38" t="n"/>
      <c r="O472" s="38" t="n"/>
      <c r="P472" s="38" t="n">
        <v>2500</v>
      </c>
      <c r="Q472" s="38" t="n">
        <v>0</v>
      </c>
      <c r="R472" s="40">
        <f>IF(J472="","",TODAY()-DATE(LEFT(J472,4)*1,MID(J472,6,2)*1,RIGHT(J472,2)*1))</f>
        <v/>
      </c>
    </row>
    <row r="473" ht="18" customHeight="1" s="31">
      <c r="A473" s="34" t="n">
        <v>471</v>
      </c>
      <c r="B473" s="34" t="inlineStr">
        <is>
          <t>MSN, RN</t>
        </is>
      </c>
      <c r="C473" s="34" t="inlineStr">
        <is>
          <t>Elizabeth Kohout</t>
        </is>
      </c>
      <c r="D473" s="34" t="inlineStr">
        <is>
          <t>UCLA</t>
        </is>
      </c>
      <c r="E473" s="34" t="inlineStr">
        <is>
          <t>Doctoral Student, PhD Program</t>
        </is>
      </c>
      <c r="F473" s="41" t="inlineStr">
        <is>
          <t>Medium</t>
        </is>
      </c>
      <c r="G473" s="35" t="inlineStr">
        <is>
          <t>High</t>
        </is>
      </c>
      <c r="H473" s="34" t="inlineStr">
        <is>
          <t>ekohout@sonnet.ucla.edu</t>
        </is>
      </c>
      <c r="I473" s="34" t="inlineStr">
        <is>
          <t>2026-04-02</t>
        </is>
      </c>
      <c r="J473" s="34" t="n"/>
      <c r="K473" s="34" t="inlineStr">
        <is>
          <t>NO</t>
        </is>
      </c>
      <c r="L473" s="36" t="inlineStr">
        <is>
          <t>New Lead</t>
        </is>
      </c>
      <c r="M473" s="34" t="n"/>
      <c r="N473" s="34" t="n"/>
      <c r="O473" s="34" t="n"/>
      <c r="P473" s="34" t="n">
        <v>2500</v>
      </c>
      <c r="Q473" s="34" t="n">
        <v>0</v>
      </c>
      <c r="R473" s="37">
        <f>IF(J473="","",TODAY()-DATE(LEFT(J473,4)*1,MID(J473,6,2)*1,RIGHT(J473,2)*1))</f>
        <v/>
      </c>
    </row>
    <row r="474" ht="18" customHeight="1" s="31">
      <c r="A474" s="38" t="n">
        <v>472</v>
      </c>
      <c r="B474" s="38" t="inlineStr">
        <is>
          <t>MSN, MA, RN, BCBA, PHN</t>
        </is>
      </c>
      <c r="C474" s="38" t="inlineStr">
        <is>
          <t>Sarah Moreau</t>
        </is>
      </c>
      <c r="D474" s="38" t="inlineStr">
        <is>
          <t>UCLA</t>
        </is>
      </c>
      <c r="E474" s="38" t="inlineStr">
        <is>
          <t>Doctoral Student, PhD Program</t>
        </is>
      </c>
      <c r="F474" s="41" t="inlineStr">
        <is>
          <t>Medium</t>
        </is>
      </c>
      <c r="G474" s="35" t="inlineStr">
        <is>
          <t>High</t>
        </is>
      </c>
      <c r="H474" s="38" t="inlineStr">
        <is>
          <t>SMoreau@sonnet.ucla.edu</t>
        </is>
      </c>
      <c r="I474" s="38" t="inlineStr">
        <is>
          <t>2026-04-02</t>
        </is>
      </c>
      <c r="J474" s="38" t="n"/>
      <c r="K474" s="38" t="inlineStr">
        <is>
          <t>NO</t>
        </is>
      </c>
      <c r="L474" s="39" t="inlineStr">
        <is>
          <t>New Lead</t>
        </is>
      </c>
      <c r="M474" s="38" t="n"/>
      <c r="N474" s="38" t="n"/>
      <c r="O474" s="38" t="n"/>
      <c r="P474" s="38" t="n">
        <v>2500</v>
      </c>
      <c r="Q474" s="38" t="n">
        <v>0</v>
      </c>
      <c r="R474" s="40">
        <f>IF(J474="","",TODAY()-DATE(LEFT(J474,4)*1,MID(J474,6,2)*1,RIGHT(J474,2)*1))</f>
        <v/>
      </c>
    </row>
    <row r="475" ht="18" customHeight="1" s="31">
      <c r="A475" s="34" t="n">
        <v>473</v>
      </c>
      <c r="B475" s="34" t="inlineStr">
        <is>
          <t>MSN, RN, PHN, CNE, PMH-BC</t>
        </is>
      </c>
      <c r="C475" s="34" t="inlineStr">
        <is>
          <t>Rey Paolo Ernesto J. Roca III</t>
        </is>
      </c>
      <c r="D475" s="34" t="inlineStr">
        <is>
          <t>UCLA</t>
        </is>
      </c>
      <c r="E475" s="34" t="inlineStr">
        <is>
          <t>Doctoral Student, PhD Program</t>
        </is>
      </c>
      <c r="F475" s="41" t="inlineStr">
        <is>
          <t>Medium</t>
        </is>
      </c>
      <c r="G475" s="35" t="inlineStr">
        <is>
          <t>High</t>
        </is>
      </c>
      <c r="H475" s="34" t="inlineStr">
        <is>
          <t>proca@sonnet.ucla.edu</t>
        </is>
      </c>
      <c r="I475" s="34" t="inlineStr">
        <is>
          <t>2026-04-02</t>
        </is>
      </c>
      <c r="J475" s="34" t="n"/>
      <c r="K475" s="34" t="inlineStr">
        <is>
          <t>NO</t>
        </is>
      </c>
      <c r="L475" s="36" t="inlineStr">
        <is>
          <t>New Lead</t>
        </is>
      </c>
      <c r="M475" s="34" t="n"/>
      <c r="N475" s="34" t="n"/>
      <c r="O475" s="34" t="n"/>
      <c r="P475" s="34" t="n">
        <v>2500</v>
      </c>
      <c r="Q475" s="34" t="n">
        <v>0</v>
      </c>
      <c r="R475" s="37">
        <f>IF(J475="","",TODAY()-DATE(LEFT(J475,4)*1,MID(J475,6,2)*1,RIGHT(J475,2)*1))</f>
        <v/>
      </c>
    </row>
    <row r="476" ht="18" customHeight="1" s="31">
      <c r="A476" s="38" t="n">
        <v>474</v>
      </c>
      <c r="B476" s="38" t="inlineStr">
        <is>
          <t>MSN, RN</t>
        </is>
      </c>
      <c r="C476" s="38" t="inlineStr">
        <is>
          <t>Dave Tan</t>
        </is>
      </c>
      <c r="D476" s="38" t="inlineStr">
        <is>
          <t>UCLA</t>
        </is>
      </c>
      <c r="E476" s="38" t="inlineStr">
        <is>
          <t>Doctoral Student, PhD Program</t>
        </is>
      </c>
      <c r="F476" s="41" t="inlineStr">
        <is>
          <t>Medium</t>
        </is>
      </c>
      <c r="G476" s="35" t="inlineStr">
        <is>
          <t>High</t>
        </is>
      </c>
      <c r="H476" s="38" t="inlineStr">
        <is>
          <t>dstan@sonnet.ucla.edu</t>
        </is>
      </c>
      <c r="I476" s="38" t="inlineStr">
        <is>
          <t>2026-04-02</t>
        </is>
      </c>
      <c r="J476" s="38" t="n"/>
      <c r="K476" s="38" t="inlineStr">
        <is>
          <t>NO</t>
        </is>
      </c>
      <c r="L476" s="39" t="inlineStr">
        <is>
          <t>New Lead</t>
        </is>
      </c>
      <c r="M476" s="38" t="n"/>
      <c r="N476" s="38" t="n"/>
      <c r="O476" s="38" t="n"/>
      <c r="P476" s="38" t="n">
        <v>2500</v>
      </c>
      <c r="Q476" s="38" t="n">
        <v>0</v>
      </c>
      <c r="R476" s="40">
        <f>IF(J476="","",TODAY()-DATE(LEFT(J476,4)*1,MID(J476,6,2)*1,RIGHT(J476,2)*1))</f>
        <v/>
      </c>
    </row>
    <row r="477" ht="18" customHeight="1" s="31">
      <c r="A477" s="34" t="n">
        <v>475</v>
      </c>
      <c r="B477" s="34" t="inlineStr">
        <is>
          <t>RN, MSN</t>
        </is>
      </c>
      <c r="C477" s="34" t="inlineStr">
        <is>
          <t>Chunyu Wang</t>
        </is>
      </c>
      <c r="D477" s="34" t="inlineStr">
        <is>
          <t>UCLA</t>
        </is>
      </c>
      <c r="E477" s="34" t="inlineStr">
        <is>
          <t>Doctoral Student, PhD Program</t>
        </is>
      </c>
      <c r="F477" s="41" t="inlineStr">
        <is>
          <t>Medium</t>
        </is>
      </c>
      <c r="G477" s="35" t="inlineStr">
        <is>
          <t>High</t>
        </is>
      </c>
      <c r="H477" s="34" t="inlineStr">
        <is>
          <t>chunyuwang@sonnet.ucla.edu</t>
        </is>
      </c>
      <c r="I477" s="34" t="inlineStr">
        <is>
          <t>2026-04-02</t>
        </is>
      </c>
      <c r="J477" s="34" t="n"/>
      <c r="K477" s="34" t="inlineStr">
        <is>
          <t>NO</t>
        </is>
      </c>
      <c r="L477" s="36" t="inlineStr">
        <is>
          <t>New Lead</t>
        </is>
      </c>
      <c r="M477" s="34" t="n"/>
      <c r="N477" s="34" t="n"/>
      <c r="O477" s="34" t="n"/>
      <c r="P477" s="34" t="n">
        <v>2500</v>
      </c>
      <c r="Q477" s="34" t="n">
        <v>0</v>
      </c>
      <c r="R477" s="37">
        <f>IF(J477="","",TODAY()-DATE(LEFT(J477,4)*1,MID(J477,6,2)*1,RIGHT(J477,2)*1))</f>
        <v/>
      </c>
    </row>
    <row r="478" ht="18" customHeight="1" s="31">
      <c r="A478" s="38" t="n">
        <v>476</v>
      </c>
      <c r="B478" s="38" t="inlineStr">
        <is>
          <t>MSN, RN, FNP-C</t>
        </is>
      </c>
      <c r="C478" s="38" t="inlineStr">
        <is>
          <t>Yi-Ping Wen</t>
        </is>
      </c>
      <c r="D478" s="38" t="inlineStr">
        <is>
          <t>UCLA</t>
        </is>
      </c>
      <c r="E478" s="38" t="inlineStr">
        <is>
          <t>Doctoral Student, PhD Program</t>
        </is>
      </c>
      <c r="F478" s="41" t="inlineStr">
        <is>
          <t>Medium</t>
        </is>
      </c>
      <c r="G478" s="35" t="inlineStr">
        <is>
          <t>High</t>
        </is>
      </c>
      <c r="H478" s="38" t="inlineStr">
        <is>
          <t>YiPingWen@sonnet.UCLA.edu</t>
        </is>
      </c>
      <c r="I478" s="38" t="inlineStr">
        <is>
          <t>2026-04-02</t>
        </is>
      </c>
      <c r="J478" s="38" t="n"/>
      <c r="K478" s="38" t="inlineStr">
        <is>
          <t>NO</t>
        </is>
      </c>
      <c r="L478" s="39" t="inlineStr">
        <is>
          <t>New Lead</t>
        </is>
      </c>
      <c r="M478" s="38" t="n"/>
      <c r="N478" s="38" t="n"/>
      <c r="O478" s="38" t="n"/>
      <c r="P478" s="38" t="n">
        <v>2500</v>
      </c>
      <c r="Q478" s="38" t="n">
        <v>0</v>
      </c>
      <c r="R478" s="40">
        <f>IF(J478="","",TODAY()-DATE(LEFT(J478,4)*1,MID(J478,6,2)*1,RIGHT(J478,2)*1))</f>
        <v/>
      </c>
    </row>
    <row r="479" ht="18" customHeight="1" s="31">
      <c r="A479" s="34" t="n">
        <v>477</v>
      </c>
      <c r="B479" s="34" t="inlineStr">
        <is>
          <t>Abraham</t>
        </is>
      </c>
      <c r="C479" s="34" t="inlineStr">
        <is>
          <t>Agiba</t>
        </is>
      </c>
      <c r="D479" s="34" t="inlineStr">
        <is>
          <t>UCLA</t>
        </is>
      </c>
      <c r="E479" s="34" t="inlineStr">
        <is>
          <t>DNP</t>
        </is>
      </c>
      <c r="F479" s="35" t="inlineStr">
        <is>
          <t>High</t>
        </is>
      </c>
      <c r="G479" s="35" t="inlineStr">
        <is>
          <t>High</t>
        </is>
      </c>
      <c r="H479" s="34" t="inlineStr">
        <is>
          <t>AAgiba@sonnet.ucla.edu</t>
        </is>
      </c>
      <c r="I479" s="34" t="inlineStr">
        <is>
          <t>2026-04-02</t>
        </is>
      </c>
      <c r="J479" s="34" t="n"/>
      <c r="K479" s="34" t="inlineStr">
        <is>
          <t>NO</t>
        </is>
      </c>
      <c r="L479" s="36" t="inlineStr">
        <is>
          <t>New Lead</t>
        </is>
      </c>
      <c r="M479" s="34" t="n"/>
      <c r="N479" s="34" t="n"/>
      <c r="O479" s="34" t="n"/>
      <c r="P479" s="34" t="n">
        <v>2500</v>
      </c>
      <c r="Q479" s="34" t="n">
        <v>0</v>
      </c>
      <c r="R479" s="37">
        <f>IF(J479="","",TODAY()-DATE(LEFT(J479,4)*1,MID(J479,6,2)*1,RIGHT(J479,2)*1))</f>
        <v/>
      </c>
    </row>
    <row r="480" ht="18" customHeight="1" s="31">
      <c r="A480" s="38" t="n">
        <v>478</v>
      </c>
      <c r="B480" s="38" t="inlineStr">
        <is>
          <t>MSN, FNP-BC</t>
        </is>
      </c>
      <c r="C480" s="38" t="inlineStr">
        <is>
          <t>Roya Amjadi</t>
        </is>
      </c>
      <c r="D480" s="38" t="inlineStr">
        <is>
          <t>UCLA</t>
        </is>
      </c>
      <c r="E480" s="38" t="inlineStr">
        <is>
          <t>DNP</t>
        </is>
      </c>
      <c r="F480" s="35" t="inlineStr">
        <is>
          <t>High</t>
        </is>
      </c>
      <c r="G480" s="35" t="inlineStr">
        <is>
          <t>High</t>
        </is>
      </c>
      <c r="H480" s="38" t="inlineStr">
        <is>
          <t>RAmjadi@sonnet.ucla.edu</t>
        </is>
      </c>
      <c r="I480" s="38" t="inlineStr">
        <is>
          <t>2026-04-02</t>
        </is>
      </c>
      <c r="J480" s="38" t="n"/>
      <c r="K480" s="38" t="inlineStr">
        <is>
          <t>NO</t>
        </is>
      </c>
      <c r="L480" s="39" t="inlineStr">
        <is>
          <t>New Lead</t>
        </is>
      </c>
      <c r="M480" s="38" t="n"/>
      <c r="N480" s="38" t="n"/>
      <c r="O480" s="38" t="n"/>
      <c r="P480" s="38" t="n">
        <v>2500</v>
      </c>
      <c r="Q480" s="38" t="n">
        <v>0</v>
      </c>
      <c r="R480" s="40">
        <f>IF(J480="","",TODAY()-DATE(LEFT(J480,4)*1,MID(J480,6,2)*1,RIGHT(J480,2)*1))</f>
        <v/>
      </c>
    </row>
    <row r="481" ht="18" customHeight="1" s="31">
      <c r="A481" s="34" t="n">
        <v>479</v>
      </c>
      <c r="B481" s="34" t="inlineStr">
        <is>
          <t>MSN, FNP-BC</t>
        </is>
      </c>
      <c r="C481" s="34" t="inlineStr">
        <is>
          <t>Melanie Arakelian</t>
        </is>
      </c>
      <c r="D481" s="34" t="inlineStr">
        <is>
          <t>UCLA</t>
        </is>
      </c>
      <c r="E481" s="34" t="inlineStr">
        <is>
          <t>DNP</t>
        </is>
      </c>
      <c r="F481" s="35" t="inlineStr">
        <is>
          <t>High</t>
        </is>
      </c>
      <c r="G481" s="35" t="inlineStr">
        <is>
          <t>High</t>
        </is>
      </c>
      <c r="H481" s="34" t="inlineStr">
        <is>
          <t>MRArakelian@sonnet.ucla.edu</t>
        </is>
      </c>
      <c r="I481" s="34" t="inlineStr">
        <is>
          <t>2026-04-02</t>
        </is>
      </c>
      <c r="J481" s="34" t="n"/>
      <c r="K481" s="34" t="inlineStr">
        <is>
          <t>NO</t>
        </is>
      </c>
      <c r="L481" s="36" t="inlineStr">
        <is>
          <t>New Lead</t>
        </is>
      </c>
      <c r="M481" s="34" t="n"/>
      <c r="N481" s="34" t="n"/>
      <c r="O481" s="34" t="n"/>
      <c r="P481" s="34" t="n">
        <v>2500</v>
      </c>
      <c r="Q481" s="34" t="n">
        <v>0</v>
      </c>
      <c r="R481" s="37">
        <f>IF(J481="","",TODAY()-DATE(LEFT(J481,4)*1,MID(J481,6,2)*1,RIGHT(J481,2)*1))</f>
        <v/>
      </c>
    </row>
    <row r="482" ht="18" customHeight="1" s="31">
      <c r="A482" s="38" t="n">
        <v>480</v>
      </c>
      <c r="B482" s="38" t="inlineStr">
        <is>
          <t>Keumhee</t>
        </is>
      </c>
      <c r="C482" s="38" t="inlineStr">
        <is>
          <t>Byeon</t>
        </is>
      </c>
      <c r="D482" s="38" t="inlineStr">
        <is>
          <t>UCLA</t>
        </is>
      </c>
      <c r="E482" s="38" t="inlineStr">
        <is>
          <t>DNP</t>
        </is>
      </c>
      <c r="F482" s="35" t="inlineStr">
        <is>
          <t>High</t>
        </is>
      </c>
      <c r="G482" s="35" t="inlineStr">
        <is>
          <t>High</t>
        </is>
      </c>
      <c r="H482" s="38" t="inlineStr">
        <is>
          <t>KByeon@sonnet.ucla.edu</t>
        </is>
      </c>
      <c r="I482" s="38" t="inlineStr">
        <is>
          <t>2026-04-02</t>
        </is>
      </c>
      <c r="J482" s="38" t="n"/>
      <c r="K482" s="38" t="inlineStr">
        <is>
          <t>NO</t>
        </is>
      </c>
      <c r="L482" s="39" t="inlineStr">
        <is>
          <t>New Lead</t>
        </is>
      </c>
      <c r="M482" s="38" t="n"/>
      <c r="N482" s="38" t="n"/>
      <c r="O482" s="38" t="n"/>
      <c r="P482" s="38" t="n">
        <v>2500</v>
      </c>
      <c r="Q482" s="38" t="n">
        <v>0</v>
      </c>
      <c r="R482" s="40">
        <f>IF(J482="","",TODAY()-DATE(LEFT(J482,4)*1,MID(J482,6,2)*1,RIGHT(J482,2)*1))</f>
        <v/>
      </c>
    </row>
    <row r="483" ht="18" customHeight="1" s="31">
      <c r="A483" s="34" t="n">
        <v>481</v>
      </c>
      <c r="B483" s="34" t="inlineStr">
        <is>
          <t>CNP</t>
        </is>
      </c>
      <c r="C483" s="34" t="inlineStr">
        <is>
          <t>Mary Clarke</t>
        </is>
      </c>
      <c r="D483" s="34" t="inlineStr">
        <is>
          <t>UCLA</t>
        </is>
      </c>
      <c r="E483" s="34" t="inlineStr">
        <is>
          <t>DNP</t>
        </is>
      </c>
      <c r="F483" s="35" t="inlineStr">
        <is>
          <t>High</t>
        </is>
      </c>
      <c r="G483" s="35" t="inlineStr">
        <is>
          <t>High</t>
        </is>
      </c>
      <c r="H483" s="34" t="inlineStr">
        <is>
          <t>MKClarke@sonnet.ucla.edu</t>
        </is>
      </c>
      <c r="I483" s="34" t="inlineStr">
        <is>
          <t>2026-04-02</t>
        </is>
      </c>
      <c r="J483" s="34" t="n"/>
      <c r="K483" s="34" t="inlineStr">
        <is>
          <t>NO</t>
        </is>
      </c>
      <c r="L483" s="36" t="inlineStr">
        <is>
          <t>New Lead</t>
        </is>
      </c>
      <c r="M483" s="34" t="n"/>
      <c r="N483" s="34" t="n"/>
      <c r="O483" s="34" t="n"/>
      <c r="P483" s="34" t="n">
        <v>2500</v>
      </c>
      <c r="Q483" s="34" t="n">
        <v>0</v>
      </c>
      <c r="R483" s="37">
        <f>IF(J483="","",TODAY()-DATE(LEFT(J483,4)*1,MID(J483,6,2)*1,RIGHT(J483,2)*1))</f>
        <v/>
      </c>
    </row>
    <row r="484" ht="18" customHeight="1" s="31">
      <c r="A484" s="38" t="n">
        <v>482</v>
      </c>
      <c r="B484" s="38" t="inlineStr">
        <is>
          <t>MSN, APRN, FNP-C, FNP-BC, WOCN, CM</t>
        </is>
      </c>
      <c r="C484" s="38" t="inlineStr">
        <is>
          <t>Ralph Fontejon</t>
        </is>
      </c>
      <c r="D484" s="38" t="inlineStr">
        <is>
          <t>UCLA</t>
        </is>
      </c>
      <c r="E484" s="38" t="inlineStr">
        <is>
          <t>DNP</t>
        </is>
      </c>
      <c r="F484" s="35" t="inlineStr">
        <is>
          <t>High</t>
        </is>
      </c>
      <c r="G484" s="35" t="inlineStr">
        <is>
          <t>High</t>
        </is>
      </c>
      <c r="H484" s="38" t="inlineStr">
        <is>
          <t>RFontejon@mednet.ucla.edu</t>
        </is>
      </c>
      <c r="I484" s="38" t="inlineStr">
        <is>
          <t>2026-04-02</t>
        </is>
      </c>
      <c r="J484" s="38" t="n"/>
      <c r="K484" s="38" t="inlineStr">
        <is>
          <t>NO</t>
        </is>
      </c>
      <c r="L484" s="39" t="inlineStr">
        <is>
          <t>New Lead</t>
        </is>
      </c>
      <c r="M484" s="38" t="n"/>
      <c r="N484" s="38" t="n"/>
      <c r="O484" s="38" t="n"/>
      <c r="P484" s="38" t="n">
        <v>2500</v>
      </c>
      <c r="Q484" s="38" t="n">
        <v>0</v>
      </c>
      <c r="R484" s="40">
        <f>IF(J484="","",TODAY()-DATE(LEFT(J484,4)*1,MID(J484,6,2)*1,RIGHT(J484,2)*1))</f>
        <v/>
      </c>
    </row>
    <row r="485" ht="18" customHeight="1" s="31">
      <c r="A485" s="34" t="n">
        <v>483</v>
      </c>
      <c r="B485" s="34" t="inlineStr">
        <is>
          <t>MSN, APRN, AGPCNP-BC, PMHNP-BC</t>
        </is>
      </c>
      <c r="C485" s="34" t="inlineStr">
        <is>
          <t>Eun Young Kim</t>
        </is>
      </c>
      <c r="D485" s="34" t="inlineStr">
        <is>
          <t>UCLA</t>
        </is>
      </c>
      <c r="E485" s="34" t="inlineStr">
        <is>
          <t>DNP</t>
        </is>
      </c>
      <c r="F485" s="35" t="inlineStr">
        <is>
          <t>High</t>
        </is>
      </c>
      <c r="G485" s="35" t="inlineStr">
        <is>
          <t>High</t>
        </is>
      </c>
      <c r="H485" s="34" t="inlineStr">
        <is>
          <t>EunYoungKim@sonnet.ucla.edu</t>
        </is>
      </c>
      <c r="I485" s="34" t="inlineStr">
        <is>
          <t>2026-04-02</t>
        </is>
      </c>
      <c r="J485" s="34" t="n"/>
      <c r="K485" s="34" t="inlineStr">
        <is>
          <t>NO</t>
        </is>
      </c>
      <c r="L485" s="36" t="inlineStr">
        <is>
          <t>New Lead</t>
        </is>
      </c>
      <c r="M485" s="34" t="n"/>
      <c r="N485" s="34" t="n"/>
      <c r="O485" s="34" t="n"/>
      <c r="P485" s="34" t="n">
        <v>2500</v>
      </c>
      <c r="Q485" s="34" t="n">
        <v>0</v>
      </c>
      <c r="R485" s="37">
        <f>IF(J485="","",TODAY()-DATE(LEFT(J485,4)*1,MID(J485,6,2)*1,RIGHT(J485,2)*1))</f>
        <v/>
      </c>
    </row>
    <row r="486" ht="18" customHeight="1" s="31">
      <c r="A486" s="38" t="n">
        <v>484</v>
      </c>
      <c r="B486" s="38" t="inlineStr">
        <is>
          <t>PMHNP-BC</t>
        </is>
      </c>
      <c r="C486" s="38" t="inlineStr">
        <is>
          <t>Frederick Koehler</t>
        </is>
      </c>
      <c r="D486" s="38" t="inlineStr">
        <is>
          <t>UCLA</t>
        </is>
      </c>
      <c r="E486" s="38" t="inlineStr">
        <is>
          <t>DNP</t>
        </is>
      </c>
      <c r="F486" s="35" t="inlineStr">
        <is>
          <t>High</t>
        </is>
      </c>
      <c r="G486" s="35" t="inlineStr">
        <is>
          <t>High</t>
        </is>
      </c>
      <c r="H486" s="38" t="inlineStr">
        <is>
          <t>FKoehler@sonnet.ucla.edu</t>
        </is>
      </c>
      <c r="I486" s="38" t="inlineStr">
        <is>
          <t>2026-04-02</t>
        </is>
      </c>
      <c r="J486" s="38" t="n"/>
      <c r="K486" s="38" t="inlineStr">
        <is>
          <t>NO</t>
        </is>
      </c>
      <c r="L486" s="39" t="inlineStr">
        <is>
          <t>New Lead</t>
        </is>
      </c>
      <c r="M486" s="38" t="n"/>
      <c r="N486" s="38" t="n"/>
      <c r="O486" s="38" t="n"/>
      <c r="P486" s="38" t="n">
        <v>2500</v>
      </c>
      <c r="Q486" s="38" t="n">
        <v>0</v>
      </c>
      <c r="R486" s="40">
        <f>IF(J486="","",TODAY()-DATE(LEFT(J486,4)*1,MID(J486,6,2)*1,RIGHT(J486,2)*1))</f>
        <v/>
      </c>
    </row>
    <row r="487" ht="18" customHeight="1" s="31">
      <c r="A487" s="34" t="n">
        <v>485</v>
      </c>
      <c r="B487" s="34" t="inlineStr">
        <is>
          <t>RN, MSN, AGACNP</t>
        </is>
      </c>
      <c r="C487" s="34" t="inlineStr">
        <is>
          <t>Audrie Martinez Duenas</t>
        </is>
      </c>
      <c r="D487" s="34" t="inlineStr">
        <is>
          <t>UCLA</t>
        </is>
      </c>
      <c r="E487" s="34" t="inlineStr">
        <is>
          <t>DNP</t>
        </is>
      </c>
      <c r="F487" s="35" t="inlineStr">
        <is>
          <t>High</t>
        </is>
      </c>
      <c r="G487" s="35" t="inlineStr">
        <is>
          <t>High</t>
        </is>
      </c>
      <c r="H487" s="34" t="inlineStr">
        <is>
          <t>AMartinezDuenas@sonnet.ucla.edu</t>
        </is>
      </c>
      <c r="I487" s="34" t="inlineStr">
        <is>
          <t>2026-04-02</t>
        </is>
      </c>
      <c r="J487" s="34" t="n"/>
      <c r="K487" s="34" t="inlineStr">
        <is>
          <t>NO</t>
        </is>
      </c>
      <c r="L487" s="36" t="inlineStr">
        <is>
          <t>New Lead</t>
        </is>
      </c>
      <c r="M487" s="34" t="n"/>
      <c r="N487" s="34" t="n"/>
      <c r="O487" s="34" t="n"/>
      <c r="P487" s="34" t="n">
        <v>2500</v>
      </c>
      <c r="Q487" s="34" t="n">
        <v>0</v>
      </c>
      <c r="R487" s="37">
        <f>IF(J487="","",TODAY()-DATE(LEFT(J487,4)*1,MID(J487,6,2)*1,RIGHT(J487,2)*1))</f>
        <v/>
      </c>
    </row>
    <row r="488" ht="18" customHeight="1" s="31">
      <c r="A488" s="38" t="n">
        <v>486</v>
      </c>
      <c r="B488" s="38" t="inlineStr">
        <is>
          <t>Jose</t>
        </is>
      </c>
      <c r="C488" s="38" t="inlineStr">
        <is>
          <t>Albiter</t>
        </is>
      </c>
      <c r="D488" s="38" t="inlineStr">
        <is>
          <t>University of Wisconsin–Madison</t>
        </is>
      </c>
      <c r="E488" s="38" t="inlineStr">
        <is>
          <t>DNP | Adult/Gerontology Acute Care NP</t>
        </is>
      </c>
      <c r="F488" s="35" t="inlineStr">
        <is>
          <t>High</t>
        </is>
      </c>
      <c r="G488" s="35" t="inlineStr">
        <is>
          <t>High</t>
        </is>
      </c>
      <c r="H488" s="38" t="inlineStr">
        <is>
          <t>jalbiter@wisc.edu</t>
        </is>
      </c>
      <c r="I488" s="38" t="inlineStr">
        <is>
          <t>2026-04-02</t>
        </is>
      </c>
      <c r="J488" s="38" t="n"/>
      <c r="K488" s="38" t="inlineStr">
        <is>
          <t>NO</t>
        </is>
      </c>
      <c r="L488" s="39" t="inlineStr">
        <is>
          <t>New Lead</t>
        </is>
      </c>
      <c r="M488" s="38" t="n"/>
      <c r="N488" s="38" t="n"/>
      <c r="O488" s="38" t="n"/>
      <c r="P488" s="38" t="n">
        <v>2500</v>
      </c>
      <c r="Q488" s="38" t="n">
        <v>0</v>
      </c>
      <c r="R488" s="40">
        <f>IF(J488="","",TODAY()-DATE(LEFT(J488,4)*1,MID(J488,6,2)*1,RIGHT(J488,2)*1))</f>
        <v/>
      </c>
    </row>
    <row r="489" ht="18" customHeight="1" s="31">
      <c r="A489" s="34" t="n">
        <v>487</v>
      </c>
      <c r="B489" s="34" t="inlineStr">
        <is>
          <t>Martina</t>
        </is>
      </c>
      <c r="C489" s="34" t="inlineStr">
        <is>
          <t>Anyinofu</t>
        </is>
      </c>
      <c r="D489" s="34" t="inlineStr">
        <is>
          <t>University of Wisconsin–Madison</t>
        </is>
      </c>
      <c r="E489" s="34" t="inlineStr">
        <is>
          <t>DNP | Population Health</t>
        </is>
      </c>
      <c r="F489" s="35" t="inlineStr">
        <is>
          <t>High</t>
        </is>
      </c>
      <c r="G489" s="35" t="inlineStr">
        <is>
          <t>High</t>
        </is>
      </c>
      <c r="H489" s="34" t="inlineStr">
        <is>
          <t>mnwachukwu@wisc.edu</t>
        </is>
      </c>
      <c r="I489" s="34" t="inlineStr">
        <is>
          <t>2026-04-02</t>
        </is>
      </c>
      <c r="J489" s="34" t="n"/>
      <c r="K489" s="34" t="inlineStr">
        <is>
          <t>NO</t>
        </is>
      </c>
      <c r="L489" s="36" t="inlineStr">
        <is>
          <t>New Lead</t>
        </is>
      </c>
      <c r="M489" s="34" t="n"/>
      <c r="N489" s="34" t="n"/>
      <c r="O489" s="34" t="n"/>
      <c r="P489" s="34" t="n">
        <v>2500</v>
      </c>
      <c r="Q489" s="34" t="n">
        <v>0</v>
      </c>
      <c r="R489" s="37">
        <f>IF(J489="","",TODAY()-DATE(LEFT(J489,4)*1,MID(J489,6,2)*1,RIGHT(J489,2)*1))</f>
        <v/>
      </c>
    </row>
    <row r="490" ht="18" customHeight="1" s="31">
      <c r="A490" s="38" t="n">
        <v>488</v>
      </c>
      <c r="B490" s="38" t="inlineStr">
        <is>
          <t>Millie</t>
        </is>
      </c>
      <c r="C490" s="38" t="inlineStr">
        <is>
          <t>Benson</t>
        </is>
      </c>
      <c r="D490" s="38" t="inlineStr">
        <is>
          <t>University of Wisconsin–Madison</t>
        </is>
      </c>
      <c r="E490" s="38" t="inlineStr">
        <is>
          <t>DNP | Adult/Gerontology Primary Care NP</t>
        </is>
      </c>
      <c r="F490" s="35" t="inlineStr">
        <is>
          <t>High</t>
        </is>
      </c>
      <c r="G490" s="35" t="inlineStr">
        <is>
          <t>High</t>
        </is>
      </c>
      <c r="H490" s="38" t="inlineStr">
        <is>
          <t>aabenson@wisc.edu</t>
        </is>
      </c>
      <c r="I490" s="38" t="inlineStr">
        <is>
          <t>2026-04-02</t>
        </is>
      </c>
      <c r="J490" s="38" t="n"/>
      <c r="K490" s="38" t="inlineStr">
        <is>
          <t>NO</t>
        </is>
      </c>
      <c r="L490" s="39" t="inlineStr">
        <is>
          <t>New Lead</t>
        </is>
      </c>
      <c r="M490" s="38" t="n"/>
      <c r="N490" s="38" t="n"/>
      <c r="O490" s="38" t="n"/>
      <c r="P490" s="38" t="n">
        <v>2500</v>
      </c>
      <c r="Q490" s="38" t="n">
        <v>0</v>
      </c>
      <c r="R490" s="40">
        <f>IF(J490="","",TODAY()-DATE(LEFT(J490,4)*1,MID(J490,6,2)*1,RIGHT(J490,2)*1))</f>
        <v/>
      </c>
    </row>
    <row r="491" ht="18" customHeight="1" s="31">
      <c r="A491" s="34" t="n">
        <v>489</v>
      </c>
      <c r="B491" s="34" t="inlineStr">
        <is>
          <t>Angela</t>
        </is>
      </c>
      <c r="C491" s="34" t="inlineStr">
        <is>
          <t>Braglia</t>
        </is>
      </c>
      <c r="D491" s="34" t="inlineStr">
        <is>
          <t>University of Wisconsin–Madison</t>
        </is>
      </c>
      <c r="E491" s="34" t="inlineStr">
        <is>
          <t>DNP | Adult/Gerontology Acute Care NP</t>
        </is>
      </c>
      <c r="F491" s="35" t="inlineStr">
        <is>
          <t>High</t>
        </is>
      </c>
      <c r="G491" s="35" t="inlineStr">
        <is>
          <t>High</t>
        </is>
      </c>
      <c r="H491" s="34" t="inlineStr">
        <is>
          <t>abraglia@wisc.edu</t>
        </is>
      </c>
      <c r="I491" s="34" t="inlineStr">
        <is>
          <t>2026-04-02</t>
        </is>
      </c>
      <c r="J491" s="34" t="n"/>
      <c r="K491" s="34" t="inlineStr">
        <is>
          <t>NO</t>
        </is>
      </c>
      <c r="L491" s="36" t="inlineStr">
        <is>
          <t>New Lead</t>
        </is>
      </c>
      <c r="M491" s="34" t="n"/>
      <c r="N491" s="34" t="n"/>
      <c r="O491" s="34" t="n"/>
      <c r="P491" s="34" t="n">
        <v>2500</v>
      </c>
      <c r="Q491" s="34" t="n">
        <v>0</v>
      </c>
      <c r="R491" s="37">
        <f>IF(J491="","",TODAY()-DATE(LEFT(J491,4)*1,MID(J491,6,2)*1,RIGHT(J491,2)*1))</f>
        <v/>
      </c>
    </row>
    <row r="492" ht="18" customHeight="1" s="31">
      <c r="A492" s="38" t="n">
        <v>490</v>
      </c>
      <c r="B492" s="38" t="inlineStr">
        <is>
          <t>Kirsten</t>
        </is>
      </c>
      <c r="C492" s="38" t="inlineStr">
        <is>
          <t>Bushek</t>
        </is>
      </c>
      <c r="D492" s="38" t="inlineStr">
        <is>
          <t>University of Wisconsin–Madison</t>
        </is>
      </c>
      <c r="E492" s="38" t="inlineStr">
        <is>
          <t>DNP | Adult/Gerontology Acute Care NP</t>
        </is>
      </c>
      <c r="F492" s="35" t="inlineStr">
        <is>
          <t>High</t>
        </is>
      </c>
      <c r="G492" s="35" t="inlineStr">
        <is>
          <t>High</t>
        </is>
      </c>
      <c r="H492" s="38" t="inlineStr">
        <is>
          <t>loebel@wisc.edu</t>
        </is>
      </c>
      <c r="I492" s="38" t="inlineStr">
        <is>
          <t>2026-04-02</t>
        </is>
      </c>
      <c r="J492" s="38" t="n"/>
      <c r="K492" s="38" t="inlineStr">
        <is>
          <t>NO</t>
        </is>
      </c>
      <c r="L492" s="39" t="inlineStr">
        <is>
          <t>New Lead</t>
        </is>
      </c>
      <c r="M492" s="38" t="n"/>
      <c r="N492" s="38" t="n"/>
      <c r="O492" s="38" t="n"/>
      <c r="P492" s="38" t="n">
        <v>2500</v>
      </c>
      <c r="Q492" s="38" t="n">
        <v>0</v>
      </c>
      <c r="R492" s="40">
        <f>IF(J492="","",TODAY()-DATE(LEFT(J492,4)*1,MID(J492,6,2)*1,RIGHT(J492,2)*1))</f>
        <v/>
      </c>
    </row>
    <row r="493" ht="18" customHeight="1" s="31">
      <c r="A493" s="34" t="n">
        <v>491</v>
      </c>
      <c r="B493" s="34" t="inlineStr">
        <is>
          <t>Maleva</t>
        </is>
      </c>
      <c r="C493" s="34" t="inlineStr">
        <is>
          <t>Butkiewicz</t>
        </is>
      </c>
      <c r="D493" s="34" t="inlineStr">
        <is>
          <t>University of Wisconsin–Madison</t>
        </is>
      </c>
      <c r="E493" s="34" t="inlineStr">
        <is>
          <t>DNP | Adult/Gerontology Primary Care NP</t>
        </is>
      </c>
      <c r="F493" s="35" t="inlineStr">
        <is>
          <t>High</t>
        </is>
      </c>
      <c r="G493" s="35" t="inlineStr">
        <is>
          <t>High</t>
        </is>
      </c>
      <c r="H493" s="34" t="inlineStr">
        <is>
          <t>butkiewicz2@wisc.edu</t>
        </is>
      </c>
      <c r="I493" s="34" t="inlineStr">
        <is>
          <t>2026-04-02</t>
        </is>
      </c>
      <c r="J493" s="34" t="n"/>
      <c r="K493" s="34" t="inlineStr">
        <is>
          <t>NO</t>
        </is>
      </c>
      <c r="L493" s="36" t="inlineStr">
        <is>
          <t>New Lead</t>
        </is>
      </c>
      <c r="M493" s="34" t="n"/>
      <c r="N493" s="34" t="n"/>
      <c r="O493" s="34" t="n"/>
      <c r="P493" s="34" t="n">
        <v>2500</v>
      </c>
      <c r="Q493" s="34" t="n">
        <v>0</v>
      </c>
      <c r="R493" s="37">
        <f>IF(J493="","",TODAY()-DATE(LEFT(J493,4)*1,MID(J493,6,2)*1,RIGHT(J493,2)*1))</f>
        <v/>
      </c>
    </row>
    <row r="494" ht="18" customHeight="1" s="31">
      <c r="A494" s="38" t="n">
        <v>492</v>
      </c>
      <c r="B494" s="38" t="inlineStr">
        <is>
          <t>Melissa</t>
        </is>
      </c>
      <c r="C494" s="38" t="inlineStr">
        <is>
          <t>Byars</t>
        </is>
      </c>
      <c r="D494" s="38" t="inlineStr">
        <is>
          <t>University of Wisconsin–Madison</t>
        </is>
      </c>
      <c r="E494" s="38" t="inlineStr">
        <is>
          <t>DNP | Systems Leadership &amp; Innovation</t>
        </is>
      </c>
      <c r="F494" s="35" t="inlineStr">
        <is>
          <t>High</t>
        </is>
      </c>
      <c r="G494" s="35" t="inlineStr">
        <is>
          <t>High</t>
        </is>
      </c>
      <c r="H494" s="38" t="inlineStr">
        <is>
          <t>mabyars@wisc.edu</t>
        </is>
      </c>
      <c r="I494" s="38" t="inlineStr">
        <is>
          <t>2026-04-02</t>
        </is>
      </c>
      <c r="J494" s="38" t="n"/>
      <c r="K494" s="38" t="inlineStr">
        <is>
          <t>NO</t>
        </is>
      </c>
      <c r="L494" s="39" t="inlineStr">
        <is>
          <t>New Lead</t>
        </is>
      </c>
      <c r="M494" s="38" t="n"/>
      <c r="N494" s="38" t="n"/>
      <c r="O494" s="38" t="n"/>
      <c r="P494" s="38" t="n">
        <v>2500</v>
      </c>
      <c r="Q494" s="38" t="n">
        <v>0</v>
      </c>
      <c r="R494" s="40">
        <f>IF(J494="","",TODAY()-DATE(LEFT(J494,4)*1,MID(J494,6,2)*1,RIGHT(J494,2)*1))</f>
        <v/>
      </c>
    </row>
    <row r="495" ht="18" customHeight="1" s="31">
      <c r="A495" s="34" t="n">
        <v>493</v>
      </c>
      <c r="B495" s="34" t="inlineStr">
        <is>
          <t>Katalina</t>
        </is>
      </c>
      <c r="C495" s="34" t="inlineStr">
        <is>
          <t>Cade</t>
        </is>
      </c>
      <c r="D495" s="34" t="inlineStr">
        <is>
          <t>University of Wisconsin–Madison</t>
        </is>
      </c>
      <c r="E495" s="34" t="inlineStr">
        <is>
          <t>DNP | Adult/Gerontology Acute Care</t>
        </is>
      </c>
      <c r="F495" s="35" t="inlineStr">
        <is>
          <t>High</t>
        </is>
      </c>
      <c r="G495" s="35" t="inlineStr">
        <is>
          <t>High</t>
        </is>
      </c>
      <c r="H495" s="34" t="inlineStr">
        <is>
          <t>kacade@wisc.edu</t>
        </is>
      </c>
      <c r="I495" s="34" t="inlineStr">
        <is>
          <t>2026-04-02</t>
        </is>
      </c>
      <c r="J495" s="34" t="n"/>
      <c r="K495" s="34" t="inlineStr">
        <is>
          <t>NO</t>
        </is>
      </c>
      <c r="L495" s="36" t="inlineStr">
        <is>
          <t>New Lead</t>
        </is>
      </c>
      <c r="M495" s="34" t="n"/>
      <c r="N495" s="34" t="n"/>
      <c r="O495" s="34" t="n"/>
      <c r="P495" s="34" t="n">
        <v>2500</v>
      </c>
      <c r="Q495" s="34" t="n">
        <v>0</v>
      </c>
      <c r="R495" s="37">
        <f>IF(J495="","",TODAY()-DATE(LEFT(J495,4)*1,MID(J495,6,2)*1,RIGHT(J495,2)*1))</f>
        <v/>
      </c>
    </row>
    <row r="496" ht="18" customHeight="1" s="31">
      <c r="A496" s="38" t="n">
        <v>494</v>
      </c>
      <c r="B496" s="38" t="inlineStr">
        <is>
          <t>Michael</t>
        </is>
      </c>
      <c r="C496" s="38" t="inlineStr">
        <is>
          <t>Cayting</t>
        </is>
      </c>
      <c r="D496" s="38" t="inlineStr">
        <is>
          <t>University of Wisconsin–Madison</t>
        </is>
      </c>
      <c r="E496" s="38" t="inlineStr">
        <is>
          <t>DNP | Psychiatric Mental Health</t>
        </is>
      </c>
      <c r="F496" s="35" t="inlineStr">
        <is>
          <t>High</t>
        </is>
      </c>
      <c r="G496" s="35" t="inlineStr">
        <is>
          <t>High</t>
        </is>
      </c>
      <c r="H496" s="38" t="inlineStr">
        <is>
          <t>cayting@wisc.edu</t>
        </is>
      </c>
      <c r="I496" s="38" t="inlineStr">
        <is>
          <t>2026-04-02</t>
        </is>
      </c>
      <c r="J496" s="38" t="n"/>
      <c r="K496" s="38" t="inlineStr">
        <is>
          <t>NO</t>
        </is>
      </c>
      <c r="L496" s="39" t="inlineStr">
        <is>
          <t>New Lead</t>
        </is>
      </c>
      <c r="M496" s="38" t="n"/>
      <c r="N496" s="38" t="n"/>
      <c r="O496" s="38" t="n"/>
      <c r="P496" s="38" t="n">
        <v>2500</v>
      </c>
      <c r="Q496" s="38" t="n">
        <v>0</v>
      </c>
      <c r="R496" s="40">
        <f>IF(J496="","",TODAY()-DATE(LEFT(J496,4)*1,MID(J496,6,2)*1,RIGHT(J496,2)*1))</f>
        <v/>
      </c>
    </row>
    <row r="497" ht="18" customHeight="1" s="31">
      <c r="A497" s="34" t="n">
        <v>495</v>
      </c>
      <c r="B497" s="34" t="inlineStr">
        <is>
          <t>Muhammad</t>
        </is>
      </c>
      <c r="C497" s="34" t="inlineStr">
        <is>
          <t>Ceesay</t>
        </is>
      </c>
      <c r="D497" s="34" t="inlineStr">
        <is>
          <t>University of Wisconsin–Madison</t>
        </is>
      </c>
      <c r="E497" s="34" t="inlineStr">
        <is>
          <t>DNP | Adult/Gerontology Acute Care NP</t>
        </is>
      </c>
      <c r="F497" s="35" t="inlineStr">
        <is>
          <t>High</t>
        </is>
      </c>
      <c r="G497" s="35" t="inlineStr">
        <is>
          <t>High</t>
        </is>
      </c>
      <c r="H497" s="34" t="inlineStr">
        <is>
          <t>lceesay@wisc.edu</t>
        </is>
      </c>
      <c r="I497" s="34" t="inlineStr">
        <is>
          <t>2026-04-02</t>
        </is>
      </c>
      <c r="J497" s="34" t="n"/>
      <c r="K497" s="34" t="inlineStr">
        <is>
          <t>NO</t>
        </is>
      </c>
      <c r="L497" s="36" t="inlineStr">
        <is>
          <t>New Lead</t>
        </is>
      </c>
      <c r="M497" s="34" t="n"/>
      <c r="N497" s="34" t="n"/>
      <c r="O497" s="34" t="n"/>
      <c r="P497" s="34" t="n">
        <v>2500</v>
      </c>
      <c r="Q497" s="34" t="n">
        <v>0</v>
      </c>
      <c r="R497" s="37">
        <f>IF(J497="","",TODAY()-DATE(LEFT(J497,4)*1,MID(J497,6,2)*1,RIGHT(J497,2)*1))</f>
        <v/>
      </c>
    </row>
    <row r="498" ht="18" customHeight="1" s="31">
      <c r="A498" s="38" t="n">
        <v>496</v>
      </c>
      <c r="B498" s="38" t="inlineStr">
        <is>
          <t>Iman</t>
        </is>
      </c>
      <c r="C498" s="38" t="inlineStr">
        <is>
          <t>Ali Al Dhawyani</t>
        </is>
      </c>
      <c r="D498" s="38" t="inlineStr">
        <is>
          <t>University of Wisconsin–Madison</t>
        </is>
      </c>
      <c r="E498" s="38" t="inlineStr">
        <is>
          <t>PhD Nursing</t>
        </is>
      </c>
      <c r="F498" s="35" t="inlineStr">
        <is>
          <t>High</t>
        </is>
      </c>
      <c r="G498" s="35" t="inlineStr">
        <is>
          <t>High</t>
        </is>
      </c>
      <c r="H498" s="38" t="inlineStr">
        <is>
          <t>aldhawyani@wisc.edu</t>
        </is>
      </c>
      <c r="I498" s="38" t="inlineStr">
        <is>
          <t>2026-04-02</t>
        </is>
      </c>
      <c r="J498" s="38" t="n"/>
      <c r="K498" s="38" t="inlineStr">
        <is>
          <t>NO</t>
        </is>
      </c>
      <c r="L498" s="39" t="inlineStr">
        <is>
          <t>New Lead</t>
        </is>
      </c>
      <c r="M498" s="38" t="n"/>
      <c r="N498" s="38" t="n"/>
      <c r="O498" s="38" t="n"/>
      <c r="P498" s="38" t="n">
        <v>2500</v>
      </c>
      <c r="Q498" s="38" t="n">
        <v>0</v>
      </c>
      <c r="R498" s="40">
        <f>IF(J498="","",TODAY()-DATE(LEFT(J498,4)*1,MID(J498,6,2)*1,RIGHT(J498,2)*1))</f>
        <v/>
      </c>
    </row>
    <row r="499" ht="18" customHeight="1" s="31">
      <c r="A499" s="34" t="n">
        <v>497</v>
      </c>
      <c r="B499" s="34" t="inlineStr">
        <is>
          <t>Caitlin</t>
        </is>
      </c>
      <c r="C499" s="34" t="inlineStr">
        <is>
          <t>Conway</t>
        </is>
      </c>
      <c r="D499" s="34" t="inlineStr">
        <is>
          <t>University of Wisconsin–Madison</t>
        </is>
      </c>
      <c r="E499" s="34" t="inlineStr">
        <is>
          <t>PhD Nursing</t>
        </is>
      </c>
      <c r="F499" s="35" t="inlineStr">
        <is>
          <t>High</t>
        </is>
      </c>
      <c r="G499" s="35" t="inlineStr">
        <is>
          <t>High</t>
        </is>
      </c>
      <c r="H499" s="34" t="inlineStr">
        <is>
          <t>cjconway2@wisc.edu</t>
        </is>
      </c>
      <c r="I499" s="34" t="inlineStr">
        <is>
          <t>2026-04-02</t>
        </is>
      </c>
      <c r="J499" s="34" t="n"/>
      <c r="K499" s="34" t="inlineStr">
        <is>
          <t>NO</t>
        </is>
      </c>
      <c r="L499" s="36" t="inlineStr">
        <is>
          <t>New Lead</t>
        </is>
      </c>
      <c r="M499" s="34" t="n"/>
      <c r="N499" s="34" t="n"/>
      <c r="O499" s="34" t="n"/>
      <c r="P499" s="34" t="n">
        <v>2500</v>
      </c>
      <c r="Q499" s="34" t="n">
        <v>0</v>
      </c>
      <c r="R499" s="37">
        <f>IF(J499="","",TODAY()-DATE(LEFT(J499,4)*1,MID(J499,6,2)*1,RIGHT(J499,2)*1))</f>
        <v/>
      </c>
    </row>
    <row r="500" ht="18" customHeight="1" s="31">
      <c r="A500" s="38" t="n">
        <v>498</v>
      </c>
      <c r="B500" s="38" t="inlineStr">
        <is>
          <t>Yoonsoo</t>
        </is>
      </c>
      <c r="C500" s="38" t="inlineStr">
        <is>
          <t>Eo</t>
        </is>
      </c>
      <c r="D500" s="38" t="inlineStr">
        <is>
          <t>University of Wisconsin–Madison</t>
        </is>
      </c>
      <c r="E500" s="38" t="inlineStr">
        <is>
          <t>PhD Nursing</t>
        </is>
      </c>
      <c r="F500" s="35" t="inlineStr">
        <is>
          <t>High</t>
        </is>
      </c>
      <c r="G500" s="35" t="inlineStr">
        <is>
          <t>High</t>
        </is>
      </c>
      <c r="H500" s="38" t="inlineStr">
        <is>
          <t>yoonsoo.eo@wisc.edu</t>
        </is>
      </c>
      <c r="I500" s="38" t="inlineStr">
        <is>
          <t>2026-04-02</t>
        </is>
      </c>
      <c r="J500" s="38" t="n"/>
      <c r="K500" s="38" t="inlineStr">
        <is>
          <t>NO</t>
        </is>
      </c>
      <c r="L500" s="39" t="inlineStr">
        <is>
          <t>New Lead</t>
        </is>
      </c>
      <c r="M500" s="38" t="n"/>
      <c r="N500" s="38" t="n"/>
      <c r="O500" s="38" t="n"/>
      <c r="P500" s="38" t="n">
        <v>2500</v>
      </c>
      <c r="Q500" s="38" t="n">
        <v>0</v>
      </c>
      <c r="R500" s="40">
        <f>IF(J500="","",TODAY()-DATE(LEFT(J500,4)*1,MID(J500,6,2)*1,RIGHT(J500,2)*1))</f>
        <v/>
      </c>
    </row>
    <row r="501" ht="18" customHeight="1" s="31">
      <c r="A501" s="34" t="n">
        <v>499</v>
      </c>
      <c r="B501" s="34" t="inlineStr">
        <is>
          <t>Jennika</t>
        </is>
      </c>
      <c r="C501" s="34" t="inlineStr">
        <is>
          <t>Finup</t>
        </is>
      </c>
      <c r="D501" s="34" t="inlineStr">
        <is>
          <t>University of Wisconsin–Madison</t>
        </is>
      </c>
      <c r="E501" s="34" t="inlineStr">
        <is>
          <t>PhD Nursing</t>
        </is>
      </c>
      <c r="F501" s="35" t="inlineStr">
        <is>
          <t>High</t>
        </is>
      </c>
      <c r="G501" s="35" t="inlineStr">
        <is>
          <t>High</t>
        </is>
      </c>
      <c r="H501" s="34" t="inlineStr">
        <is>
          <t>finup@urology.wisc.edu</t>
        </is>
      </c>
      <c r="I501" s="34" t="inlineStr">
        <is>
          <t>2026-04-02</t>
        </is>
      </c>
      <c r="J501" s="34" t="n"/>
      <c r="K501" s="34" t="inlineStr">
        <is>
          <t>NO</t>
        </is>
      </c>
      <c r="L501" s="36" t="inlineStr">
        <is>
          <t>New Lead</t>
        </is>
      </c>
      <c r="M501" s="34" t="n"/>
      <c r="N501" s="34" t="n"/>
      <c r="O501" s="34" t="n"/>
      <c r="P501" s="34" t="n">
        <v>2500</v>
      </c>
      <c r="Q501" s="34" t="n">
        <v>0</v>
      </c>
      <c r="R501" s="37">
        <f>IF(J501="","",TODAY()-DATE(LEFT(J501,4)*1,MID(J501,6,2)*1,RIGHT(J501,2)*1))</f>
        <v/>
      </c>
    </row>
    <row r="502" ht="18" customHeight="1" s="31">
      <c r="A502" s="38" t="n">
        <v>500</v>
      </c>
      <c r="B502" s="38" t="inlineStr">
        <is>
          <t>Rachel</t>
        </is>
      </c>
      <c r="C502" s="38" t="inlineStr">
        <is>
          <t>Hawn</t>
        </is>
      </c>
      <c r="D502" s="38" t="inlineStr">
        <is>
          <t>University of Wisconsin–Madison</t>
        </is>
      </c>
      <c r="E502" s="38" t="inlineStr">
        <is>
          <t>PhD Nursing</t>
        </is>
      </c>
      <c r="F502" s="35" t="inlineStr">
        <is>
          <t>High</t>
        </is>
      </c>
      <c r="G502" s="35" t="inlineStr">
        <is>
          <t>High</t>
        </is>
      </c>
      <c r="H502" s="38" t="inlineStr">
        <is>
          <t>rhawn@wisc.edu</t>
        </is>
      </c>
      <c r="I502" s="38" t="inlineStr">
        <is>
          <t>2026-04-02</t>
        </is>
      </c>
      <c r="J502" s="38" t="n"/>
      <c r="K502" s="38" t="inlineStr">
        <is>
          <t>NO</t>
        </is>
      </c>
      <c r="L502" s="39" t="inlineStr">
        <is>
          <t>New Lead</t>
        </is>
      </c>
      <c r="M502" s="38" t="n"/>
      <c r="N502" s="38" t="n"/>
      <c r="O502" s="38" t="n"/>
      <c r="P502" s="38" t="n">
        <v>2500</v>
      </c>
      <c r="Q502" s="38" t="n">
        <v>0</v>
      </c>
      <c r="R502" s="40">
        <f>IF(J502="","",TODAY()-DATE(LEFT(J502,4)*1,MID(J502,6,2)*1,RIGHT(J502,2)*1))</f>
        <v/>
      </c>
    </row>
    <row r="503" ht="18" customHeight="1" s="31">
      <c r="A503" s="34" t="n">
        <v>501</v>
      </c>
      <c r="B503" s="34" t="inlineStr">
        <is>
          <t>Cierra</t>
        </is>
      </c>
      <c r="C503" s="34" t="inlineStr">
        <is>
          <t>McCoy</t>
        </is>
      </c>
      <c r="D503" s="34" t="inlineStr">
        <is>
          <t>University of Wisconsin–Madison</t>
        </is>
      </c>
      <c r="E503" s="34" t="inlineStr">
        <is>
          <t>PhD Nursing</t>
        </is>
      </c>
      <c r="F503" s="35" t="inlineStr">
        <is>
          <t>High</t>
        </is>
      </c>
      <c r="G503" s="35" t="inlineStr">
        <is>
          <t>High</t>
        </is>
      </c>
      <c r="H503" s="34" t="inlineStr">
        <is>
          <t>cmccoy3@wisc.edu</t>
        </is>
      </c>
      <c r="I503" s="34" t="inlineStr">
        <is>
          <t>2026-04-02</t>
        </is>
      </c>
      <c r="J503" s="34" t="n"/>
      <c r="K503" s="34" t="inlineStr">
        <is>
          <t>NO</t>
        </is>
      </c>
      <c r="L503" s="36" t="inlineStr">
        <is>
          <t>New Lead</t>
        </is>
      </c>
      <c r="M503" s="34" t="n"/>
      <c r="N503" s="34" t="n"/>
      <c r="O503" s="34" t="n"/>
      <c r="P503" s="34" t="n">
        <v>2500</v>
      </c>
      <c r="Q503" s="34" t="n">
        <v>0</v>
      </c>
      <c r="R503" s="37">
        <f>IF(J503="","",TODAY()-DATE(LEFT(J503,4)*1,MID(J503,6,2)*1,RIGHT(J503,2)*1))</f>
        <v/>
      </c>
    </row>
    <row r="504" ht="18" customHeight="1" s="31">
      <c r="A504" s="38" t="n">
        <v>502</v>
      </c>
      <c r="B504" s="38" t="inlineStr">
        <is>
          <t>Thatchkorn</t>
        </is>
      </c>
      <c r="C504" s="38" t="inlineStr">
        <is>
          <t>Klaisuban</t>
        </is>
      </c>
      <c r="D504" s="38" t="inlineStr">
        <is>
          <t>University of Wisconsin–Madison</t>
        </is>
      </c>
      <c r="E504" s="38" t="inlineStr">
        <is>
          <t>PhD Nursing</t>
        </is>
      </c>
      <c r="F504" s="35" t="inlineStr">
        <is>
          <t>High</t>
        </is>
      </c>
      <c r="G504" s="35" t="inlineStr">
        <is>
          <t>High</t>
        </is>
      </c>
      <c r="H504" s="38" t="inlineStr">
        <is>
          <t>klaisuban@wisc.edu</t>
        </is>
      </c>
      <c r="I504" s="38" t="inlineStr">
        <is>
          <t>2026-04-02</t>
        </is>
      </c>
      <c r="J504" s="38" t="n"/>
      <c r="K504" s="38" t="inlineStr">
        <is>
          <t>NO</t>
        </is>
      </c>
      <c r="L504" s="39" t="inlineStr">
        <is>
          <t>New Lead</t>
        </is>
      </c>
      <c r="M504" s="38" t="n"/>
      <c r="N504" s="38" t="n"/>
      <c r="O504" s="38" t="n"/>
      <c r="P504" s="38" t="n">
        <v>2500</v>
      </c>
      <c r="Q504" s="38" t="n">
        <v>0</v>
      </c>
      <c r="R504" s="40">
        <f>IF(J504="","",TODAY()-DATE(LEFT(J504,4)*1,MID(J504,6,2)*1,RIGHT(J504,2)*1))</f>
        <v/>
      </c>
    </row>
    <row r="505" ht="18" customHeight="1" s="31">
      <c r="A505" s="34" t="n">
        <v>503</v>
      </c>
      <c r="B505" s="34" t="inlineStr">
        <is>
          <t>Kelly</t>
        </is>
      </c>
      <c r="C505" s="34" t="inlineStr">
        <is>
          <t>Krainak</t>
        </is>
      </c>
      <c r="D505" s="34" t="inlineStr">
        <is>
          <t>University of Wisconsin–Madison</t>
        </is>
      </c>
      <c r="E505" s="34" t="inlineStr">
        <is>
          <t>PhD Nursing</t>
        </is>
      </c>
      <c r="F505" s="35" t="inlineStr">
        <is>
          <t>High</t>
        </is>
      </c>
      <c r="G505" s="35" t="inlineStr">
        <is>
          <t>High</t>
        </is>
      </c>
      <c r="H505" s="34" t="inlineStr">
        <is>
          <t>krainak@wisc.edu</t>
        </is>
      </c>
      <c r="I505" s="34" t="inlineStr">
        <is>
          <t>2026-04-02</t>
        </is>
      </c>
      <c r="J505" s="34" t="n"/>
      <c r="K505" s="34" t="inlineStr">
        <is>
          <t>NO</t>
        </is>
      </c>
      <c r="L505" s="36" t="inlineStr">
        <is>
          <t>New Lead</t>
        </is>
      </c>
      <c r="M505" s="34" t="n"/>
      <c r="N505" s="34" t="n"/>
      <c r="O505" s="34" t="n"/>
      <c r="P505" s="34" t="n">
        <v>2500</v>
      </c>
      <c r="Q505" s="34" t="n">
        <v>0</v>
      </c>
      <c r="R505" s="37">
        <f>IF(J505="","",TODAY()-DATE(LEFT(J505,4)*1,MID(J505,6,2)*1,RIGHT(J505,2)*1))</f>
        <v/>
      </c>
    </row>
    <row r="506" ht="18" customHeight="1" s="31">
      <c r="A506" s="38" t="n">
        <v>504</v>
      </c>
      <c r="B506" s="38" t="inlineStr">
        <is>
          <t>Jared</t>
        </is>
      </c>
      <c r="C506" s="38" t="inlineStr">
        <is>
          <t>Lemminger</t>
        </is>
      </c>
      <c r="D506" s="38" t="inlineStr">
        <is>
          <t>University of Wisconsin–Madison</t>
        </is>
      </c>
      <c r="E506" s="38" t="inlineStr">
        <is>
          <t>PhD Nursing</t>
        </is>
      </c>
      <c r="F506" s="35" t="inlineStr">
        <is>
          <t>High</t>
        </is>
      </c>
      <c r="G506" s="35" t="inlineStr">
        <is>
          <t>High</t>
        </is>
      </c>
      <c r="H506" s="38" t="inlineStr">
        <is>
          <t>jrlemminger@wisc.edu</t>
        </is>
      </c>
      <c r="I506" s="38" t="inlineStr">
        <is>
          <t>2026-04-02</t>
        </is>
      </c>
      <c r="J506" s="38" t="n"/>
      <c r="K506" s="38" t="inlineStr">
        <is>
          <t>NO</t>
        </is>
      </c>
      <c r="L506" s="39" t="inlineStr">
        <is>
          <t>New Lead</t>
        </is>
      </c>
      <c r="M506" s="38" t="n"/>
      <c r="N506" s="38" t="n"/>
      <c r="O506" s="38" t="n"/>
      <c r="P506" s="38" t="n">
        <v>2500</v>
      </c>
      <c r="Q506" s="38" t="n">
        <v>0</v>
      </c>
      <c r="R506" s="40">
        <f>IF(J506="","",TODAY()-DATE(LEFT(J506,4)*1,MID(J506,6,2)*1,RIGHT(J506,2)*1))</f>
        <v/>
      </c>
    </row>
    <row r="507" ht="18" customHeight="1" s="31">
      <c r="A507" s="34" t="n">
        <v>505</v>
      </c>
      <c r="B507" s="34" t="inlineStr">
        <is>
          <t>Jingxi</t>
        </is>
      </c>
      <c r="C507" s="34" t="inlineStr">
        <is>
          <t>Li</t>
        </is>
      </c>
      <c r="D507" s="34" t="inlineStr">
        <is>
          <t>University of Wisconsin–Madison</t>
        </is>
      </c>
      <c r="E507" s="34" t="inlineStr">
        <is>
          <t>PhD Nursing</t>
        </is>
      </c>
      <c r="F507" s="35" t="inlineStr">
        <is>
          <t>High</t>
        </is>
      </c>
      <c r="G507" s="35" t="inlineStr">
        <is>
          <t>High</t>
        </is>
      </c>
      <c r="H507" s="34" t="inlineStr">
        <is>
          <t>jli2497@wisc.edu</t>
        </is>
      </c>
      <c r="I507" s="34" t="inlineStr">
        <is>
          <t>2026-04-02</t>
        </is>
      </c>
      <c r="J507" s="34" t="n"/>
      <c r="K507" s="34" t="inlineStr">
        <is>
          <t>NO</t>
        </is>
      </c>
      <c r="L507" s="36" t="inlineStr">
        <is>
          <t>New Lead</t>
        </is>
      </c>
      <c r="M507" s="34" t="n"/>
      <c r="N507" s="34" t="n"/>
      <c r="O507" s="34" t="n"/>
      <c r="P507" s="34" t="n">
        <v>2500</v>
      </c>
      <c r="Q507" s="34" t="n">
        <v>0</v>
      </c>
      <c r="R507" s="37">
        <f>IF(J507="","",TODAY()-DATE(LEFT(J507,4)*1,MID(J507,6,2)*1,RIGHT(J507,2)*1))</f>
        <v/>
      </c>
    </row>
    <row r="508" ht="18" customHeight="1" s="31">
      <c r="A508" s="38" t="n">
        <v>506</v>
      </c>
      <c r="B508" s="38" t="inlineStr">
        <is>
          <t>Yamikani</t>
        </is>
      </c>
      <c r="C508" s="38" t="inlineStr">
        <is>
          <t>Nkhoma</t>
        </is>
      </c>
      <c r="D508" s="38" t="inlineStr">
        <is>
          <t>University of Wisconsin–Madison</t>
        </is>
      </c>
      <c r="E508" s="38" t="inlineStr">
        <is>
          <t>PhD Nursing</t>
        </is>
      </c>
      <c r="F508" s="35" t="inlineStr">
        <is>
          <t>High</t>
        </is>
      </c>
      <c r="G508" s="35" t="inlineStr">
        <is>
          <t>High</t>
        </is>
      </c>
      <c r="H508" s="38" t="inlineStr">
        <is>
          <t>ynkhoma@wisc.edu</t>
        </is>
      </c>
      <c r="I508" s="38" t="inlineStr">
        <is>
          <t>2026-04-02</t>
        </is>
      </c>
      <c r="J508" s="38" t="n"/>
      <c r="K508" s="38" t="inlineStr">
        <is>
          <t>NO</t>
        </is>
      </c>
      <c r="L508" s="39" t="inlineStr">
        <is>
          <t>New Lead</t>
        </is>
      </c>
      <c r="M508" s="38" t="n"/>
      <c r="N508" s="38" t="n"/>
      <c r="O508" s="38" t="n"/>
      <c r="P508" s="38" t="n">
        <v>2500</v>
      </c>
      <c r="Q508" s="38" t="n">
        <v>0</v>
      </c>
      <c r="R508" s="40">
        <f>IF(J508="","",TODAY()-DATE(LEFT(J508,4)*1,MID(J508,6,2)*1,RIGHT(J508,2)*1))</f>
        <v/>
      </c>
    </row>
    <row r="509" ht="18" customHeight="1" s="31">
      <c r="A509" s="34" t="n">
        <v>507</v>
      </c>
      <c r="B509" s="34" t="inlineStr">
        <is>
          <t>Jiawei</t>
        </is>
      </c>
      <c r="C509" s="34" t="inlineStr">
        <is>
          <t>Qian</t>
        </is>
      </c>
      <c r="D509" s="34" t="inlineStr">
        <is>
          <t>University of Wisconsin–Madison</t>
        </is>
      </c>
      <c r="E509" s="34" t="inlineStr">
        <is>
          <t>PhD Nursing</t>
        </is>
      </c>
      <c r="F509" s="35" t="inlineStr">
        <is>
          <t>High</t>
        </is>
      </c>
      <c r="G509" s="35" t="inlineStr">
        <is>
          <t>High</t>
        </is>
      </c>
      <c r="H509" s="34" t="inlineStr">
        <is>
          <t>jqian85@wisc.edu</t>
        </is>
      </c>
      <c r="I509" s="34" t="inlineStr">
        <is>
          <t>2026-04-02</t>
        </is>
      </c>
      <c r="J509" s="34" t="n"/>
      <c r="K509" s="34" t="inlineStr">
        <is>
          <t>NO</t>
        </is>
      </c>
      <c r="L509" s="36" t="inlineStr">
        <is>
          <t>New Lead</t>
        </is>
      </c>
      <c r="M509" s="34" t="n"/>
      <c r="N509" s="34" t="n"/>
      <c r="O509" s="34" t="n"/>
      <c r="P509" s="34" t="n">
        <v>2500</v>
      </c>
      <c r="Q509" s="34" t="n">
        <v>0</v>
      </c>
      <c r="R509" s="37">
        <f>IF(J509="","",TODAY()-DATE(LEFT(J509,4)*1,MID(J509,6,2)*1,RIGHT(J509,2)*1))</f>
        <v/>
      </c>
    </row>
    <row r="510" ht="18" customHeight="1" s="31">
      <c r="A510" s="38" t="n">
        <v>508</v>
      </c>
      <c r="B510" s="38" t="inlineStr">
        <is>
          <t>Zahra</t>
        </is>
      </c>
      <c r="C510" s="38" t="inlineStr">
        <is>
          <t>Sahebazzamani</t>
        </is>
      </c>
      <c r="D510" s="38" t="inlineStr">
        <is>
          <t>University of Wisconsin–Madison</t>
        </is>
      </c>
      <c r="E510" s="38" t="inlineStr">
        <is>
          <t>PhD Nursing</t>
        </is>
      </c>
      <c r="F510" s="35" t="inlineStr">
        <is>
          <t>High</t>
        </is>
      </c>
      <c r="G510" s="35" t="inlineStr">
        <is>
          <t>High</t>
        </is>
      </c>
      <c r="H510" s="38" t="inlineStr">
        <is>
          <t>sahebazzaman@wisc.edu</t>
        </is>
      </c>
      <c r="I510" s="38" t="inlineStr">
        <is>
          <t>2026-04-02</t>
        </is>
      </c>
      <c r="J510" s="38" t="n"/>
      <c r="K510" s="38" t="inlineStr">
        <is>
          <t>NO</t>
        </is>
      </c>
      <c r="L510" s="39" t="inlineStr">
        <is>
          <t>New Lead</t>
        </is>
      </c>
      <c r="M510" s="38" t="n"/>
      <c r="N510" s="38" t="n"/>
      <c r="O510" s="38" t="n"/>
      <c r="P510" s="38" t="n">
        <v>2500</v>
      </c>
      <c r="Q510" s="38" t="n">
        <v>0</v>
      </c>
      <c r="R510" s="40">
        <f>IF(J510="","",TODAY()-DATE(LEFT(J510,4)*1,MID(J510,6,2)*1,RIGHT(J510,2)*1))</f>
        <v/>
      </c>
    </row>
    <row r="511" ht="18" customHeight="1" s="31">
      <c r="A511" s="34" t="n">
        <v>509</v>
      </c>
      <c r="B511" s="34" t="inlineStr">
        <is>
          <t>David</t>
        </is>
      </c>
      <c r="C511" s="34" t="inlineStr">
        <is>
          <t>Tucker</t>
        </is>
      </c>
      <c r="D511" s="34" t="inlineStr">
        <is>
          <t>University of Wisconsin–Madison</t>
        </is>
      </c>
      <c r="E511" s="34" t="inlineStr">
        <is>
          <t>PhD Nursing</t>
        </is>
      </c>
      <c r="F511" s="35" t="inlineStr">
        <is>
          <t>High</t>
        </is>
      </c>
      <c r="G511" s="35" t="inlineStr">
        <is>
          <t>High</t>
        </is>
      </c>
      <c r="H511" s="34" t="inlineStr">
        <is>
          <t>dwtucker@wisc.edu</t>
        </is>
      </c>
      <c r="I511" s="34" t="inlineStr">
        <is>
          <t>2026-04-02</t>
        </is>
      </c>
      <c r="J511" s="34" t="n"/>
      <c r="K511" s="34" t="inlineStr">
        <is>
          <t>NO</t>
        </is>
      </c>
      <c r="L511" s="36" t="inlineStr">
        <is>
          <t>New Lead</t>
        </is>
      </c>
      <c r="M511" s="34" t="n"/>
      <c r="N511" s="34" t="n"/>
      <c r="O511" s="34" t="n"/>
      <c r="P511" s="34" t="n">
        <v>2500</v>
      </c>
      <c r="Q511" s="34" t="n">
        <v>0</v>
      </c>
      <c r="R511" s="37">
        <f>IF(J511="","",TODAY()-DATE(LEFT(J511,4)*1,MID(J511,6,2)*1,RIGHT(J511,2)*1))</f>
        <v/>
      </c>
    </row>
    <row r="512" ht="18" customHeight="1" s="31">
      <c r="A512" s="38" t="n">
        <v>510</v>
      </c>
      <c r="B512" s="38" t="inlineStr">
        <is>
          <t>Jennifer</t>
        </is>
      </c>
      <c r="C512" s="38" t="inlineStr">
        <is>
          <t>Van Matre-Wattles</t>
        </is>
      </c>
      <c r="D512" s="38" t="inlineStr">
        <is>
          <t>University of Wisconsin–Madison</t>
        </is>
      </c>
      <c r="E512" s="38" t="inlineStr">
        <is>
          <t>PhD Nursing</t>
        </is>
      </c>
      <c r="F512" s="35" t="inlineStr">
        <is>
          <t>High</t>
        </is>
      </c>
      <c r="G512" s="35" t="inlineStr">
        <is>
          <t>High</t>
        </is>
      </c>
      <c r="H512" s="38" t="inlineStr">
        <is>
          <t>vanmatrewatt@wisc.edu</t>
        </is>
      </c>
      <c r="I512" s="38" t="inlineStr">
        <is>
          <t>2026-04-02</t>
        </is>
      </c>
      <c r="J512" s="38" t="n"/>
      <c r="K512" s="38" t="inlineStr">
        <is>
          <t>NO</t>
        </is>
      </c>
      <c r="L512" s="39" t="inlineStr">
        <is>
          <t>New Lead</t>
        </is>
      </c>
      <c r="M512" s="38" t="n"/>
      <c r="N512" s="38" t="n"/>
      <c r="O512" s="38" t="n"/>
      <c r="P512" s="38" t="n">
        <v>2500</v>
      </c>
      <c r="Q512" s="38" t="n">
        <v>0</v>
      </c>
      <c r="R512" s="40">
        <f>IF(J512="","",TODAY()-DATE(LEFT(J512,4)*1,MID(J512,6,2)*1,RIGHT(J512,2)*1))</f>
        <v/>
      </c>
    </row>
    <row r="513" ht="18" customHeight="1" s="31">
      <c r="A513" s="34" t="n">
        <v>511</v>
      </c>
      <c r="B513" s="34" t="inlineStr">
        <is>
          <t>Pattraporn</t>
        </is>
      </c>
      <c r="C513" s="34" t="inlineStr">
        <is>
          <t>Worrasirinara</t>
        </is>
      </c>
      <c r="D513" s="34" t="inlineStr">
        <is>
          <t>University of Wisconsin–Madison</t>
        </is>
      </c>
      <c r="E513" s="34" t="inlineStr">
        <is>
          <t>PhD Nursing</t>
        </is>
      </c>
      <c r="F513" s="35" t="inlineStr">
        <is>
          <t>High</t>
        </is>
      </c>
      <c r="G513" s="35" t="inlineStr">
        <is>
          <t>High</t>
        </is>
      </c>
      <c r="H513" s="34" t="inlineStr">
        <is>
          <t>worrasirinar@wisc.edu</t>
        </is>
      </c>
      <c r="I513" s="34" t="inlineStr">
        <is>
          <t>2026-04-02</t>
        </is>
      </c>
      <c r="J513" s="34" t="n"/>
      <c r="K513" s="34" t="inlineStr">
        <is>
          <t>NO</t>
        </is>
      </c>
      <c r="L513" s="36" t="inlineStr">
        <is>
          <t>New Lead</t>
        </is>
      </c>
      <c r="M513" s="34" t="n"/>
      <c r="N513" s="34" t="n"/>
      <c r="O513" s="34" t="n"/>
      <c r="P513" s="34" t="n">
        <v>2500</v>
      </c>
      <c r="Q513" s="34" t="n">
        <v>0</v>
      </c>
      <c r="R513" s="37">
        <f>IF(J513="","",TODAY()-DATE(LEFT(J513,4)*1,MID(J513,6,2)*1,RIGHT(J513,2)*1))</f>
        <v/>
      </c>
    </row>
    <row r="514" ht="18" customHeight="1" s="31">
      <c r="A514" s="38" t="n">
        <v>512</v>
      </c>
      <c r="B514" s="38" t="inlineStr">
        <is>
          <t>Shoua</t>
        </is>
      </c>
      <c r="C514" s="38" t="inlineStr">
        <is>
          <t>Xiong</t>
        </is>
      </c>
      <c r="D514" s="38" t="inlineStr">
        <is>
          <t>University of Wisconsin–Madison</t>
        </is>
      </c>
      <c r="E514" s="38" t="inlineStr">
        <is>
          <t>PhD Nursing</t>
        </is>
      </c>
      <c r="F514" s="35" t="inlineStr">
        <is>
          <t>High</t>
        </is>
      </c>
      <c r="G514" s="35" t="inlineStr">
        <is>
          <t>High</t>
        </is>
      </c>
      <c r="H514" s="38" t="inlineStr">
        <is>
          <t>sxiong69@wisc.edu</t>
        </is>
      </c>
      <c r="I514" s="38" t="inlineStr">
        <is>
          <t>2026-04-02</t>
        </is>
      </c>
      <c r="J514" s="38" t="n"/>
      <c r="K514" s="38" t="inlineStr">
        <is>
          <t>NO</t>
        </is>
      </c>
      <c r="L514" s="39" t="inlineStr">
        <is>
          <t>New Lead</t>
        </is>
      </c>
      <c r="M514" s="38" t="n"/>
      <c r="N514" s="38" t="n"/>
      <c r="O514" s="38" t="n"/>
      <c r="P514" s="38" t="n">
        <v>2500</v>
      </c>
      <c r="Q514" s="38" t="n">
        <v>0</v>
      </c>
      <c r="R514" s="40">
        <f>IF(J514="","",TODAY()-DATE(LEFT(J514,4)*1,MID(J514,6,2)*1,RIGHT(J514,2)*1))</f>
        <v/>
      </c>
    </row>
    <row r="515" ht="18" customHeight="1" s="31">
      <c r="A515" s="34" t="n">
        <v>513</v>
      </c>
      <c r="B515" s="34" t="inlineStr">
        <is>
          <t>Anjali</t>
        </is>
      </c>
      <c r="C515" s="34" t="inlineStr">
        <is>
          <t>Vasavada</t>
        </is>
      </c>
      <c r="D515" s="34" t="inlineStr">
        <is>
          <t>University of Washington</t>
        </is>
      </c>
      <c r="E515" s="34" t="inlineStr">
        <is>
          <t>Cancer screening; Implementation science; Mixed methods/Qualitative</t>
        </is>
      </c>
      <c r="F515" s="41" t="inlineStr">
        <is>
          <t>Medium</t>
        </is>
      </c>
      <c r="G515" s="41" t="inlineStr">
        <is>
          <t>Medium</t>
        </is>
      </c>
      <c r="H515" s="34" t="inlineStr">
        <is>
          <t>anjaliv@uw.edu</t>
        </is>
      </c>
      <c r="I515" s="34" t="inlineStr">
        <is>
          <t>2026-04-02</t>
        </is>
      </c>
      <c r="J515" s="34" t="n"/>
      <c r="K515" s="34" t="inlineStr">
        <is>
          <t>NO</t>
        </is>
      </c>
      <c r="L515" s="36" t="inlineStr">
        <is>
          <t>New Lead</t>
        </is>
      </c>
      <c r="M515" s="34" t="n"/>
      <c r="N515" s="34" t="n"/>
      <c r="O515" s="34" t="n"/>
      <c r="P515" s="34" t="n">
        <v>2500</v>
      </c>
      <c r="Q515" s="34" t="n">
        <v>0</v>
      </c>
      <c r="R515" s="37">
        <f>IF(J515="","",TODAY()-DATE(LEFT(J515,4)*1,MID(J515,6,2)*1,RIGHT(J515,2)*1))</f>
        <v/>
      </c>
    </row>
    <row r="516" ht="18" customHeight="1" s="31">
      <c r="A516" s="38" t="n">
        <v>514</v>
      </c>
      <c r="B516" s="38" t="inlineStr">
        <is>
          <t>Shengruo</t>
        </is>
      </c>
      <c r="C516" s="38" t="inlineStr">
        <is>
          <t>Zhang</t>
        </is>
      </c>
      <c r="D516" s="38" t="inlineStr">
        <is>
          <t>University of Washington</t>
        </is>
      </c>
      <c r="E516" s="38" t="inlineStr">
        <is>
          <t>STIs (HPV/HIV; bacterial STIs); Global &amp; US sexual health</t>
        </is>
      </c>
      <c r="F516" s="41" t="inlineStr">
        <is>
          <t>Medium</t>
        </is>
      </c>
      <c r="G516" s="41" t="inlineStr">
        <is>
          <t>Medium</t>
        </is>
      </c>
      <c r="H516" s="38" t="inlineStr">
        <is>
          <t>shengruo@uw.edu</t>
        </is>
      </c>
      <c r="I516" s="38" t="inlineStr">
        <is>
          <t>2026-04-02</t>
        </is>
      </c>
      <c r="J516" s="38" t="n"/>
      <c r="K516" s="38" t="inlineStr">
        <is>
          <t>NO</t>
        </is>
      </c>
      <c r="L516" s="39" t="inlineStr">
        <is>
          <t>New Lead</t>
        </is>
      </c>
      <c r="M516" s="38" t="n"/>
      <c r="N516" s="38" t="n"/>
      <c r="O516" s="38" t="n"/>
      <c r="P516" s="38" t="n">
        <v>2500</v>
      </c>
      <c r="Q516" s="38" t="n">
        <v>0</v>
      </c>
      <c r="R516" s="40">
        <f>IF(J516="","",TODAY()-DATE(LEFT(J516,4)*1,MID(J516,6,2)*1,RIGHT(J516,2)*1))</f>
        <v/>
      </c>
    </row>
    <row r="517" ht="18" customHeight="1" s="31">
      <c r="A517" s="34" t="n">
        <v>515</v>
      </c>
      <c r="B517" s="34" t="inlineStr">
        <is>
          <t>Collrane</t>
        </is>
      </c>
      <c r="C517" s="34" t="inlineStr">
        <is>
          <t>Frivold</t>
        </is>
      </c>
      <c r="D517" s="34" t="inlineStr">
        <is>
          <t>University of Washington</t>
        </is>
      </c>
      <c r="E517" s="34" t="inlineStr">
        <is>
          <t>Infectious disease epidemiology; Vaccines; Respiratory pathogens</t>
        </is>
      </c>
      <c r="F517" s="41" t="inlineStr">
        <is>
          <t>Medium</t>
        </is>
      </c>
      <c r="G517" s="41" t="inlineStr">
        <is>
          <t>Medium</t>
        </is>
      </c>
      <c r="H517" s="34" t="inlineStr">
        <is>
          <t>cfrivold@uw.edu</t>
        </is>
      </c>
      <c r="I517" s="34" t="inlineStr">
        <is>
          <t>2026-04-02</t>
        </is>
      </c>
      <c r="J517" s="34" t="n"/>
      <c r="K517" s="34" t="inlineStr">
        <is>
          <t>NO</t>
        </is>
      </c>
      <c r="L517" s="36" t="inlineStr">
        <is>
          <t>New Lead</t>
        </is>
      </c>
      <c r="M517" s="34" t="n"/>
      <c r="N517" s="34" t="n"/>
      <c r="O517" s="34" t="n"/>
      <c r="P517" s="34" t="n">
        <v>2500</v>
      </c>
      <c r="Q517" s="34" t="n">
        <v>0</v>
      </c>
      <c r="R517" s="37">
        <f>IF(J517="","",TODAY()-DATE(LEFT(J517,4)*1,MID(J517,6,2)*1,RIGHT(J517,2)*1))</f>
        <v/>
      </c>
    </row>
    <row r="518" ht="18" customHeight="1" s="31">
      <c r="A518" s="38" t="n">
        <v>516</v>
      </c>
      <c r="B518" s="38" t="inlineStr">
        <is>
          <t>Ruby</t>
        </is>
      </c>
      <c r="C518" s="38" t="inlineStr">
        <is>
          <t>Lucas</t>
        </is>
      </c>
      <c r="D518" s="38" t="inlineStr">
        <is>
          <t>University of Washington</t>
        </is>
      </c>
      <c r="E518" s="38" t="inlineStr">
        <is>
          <t>Maternal &amp; Child Health; Mixed methods; Community-engaged research</t>
        </is>
      </c>
      <c r="F518" s="41" t="inlineStr">
        <is>
          <t>Medium</t>
        </is>
      </c>
      <c r="G518" s="41" t="inlineStr">
        <is>
          <t>Medium</t>
        </is>
      </c>
      <c r="H518" s="38" t="inlineStr">
        <is>
          <t>rlucas2@uw.edu</t>
        </is>
      </c>
      <c r="I518" s="38" t="inlineStr">
        <is>
          <t>2026-04-02</t>
        </is>
      </c>
      <c r="J518" s="38" t="n"/>
      <c r="K518" s="38" t="inlineStr">
        <is>
          <t>NO</t>
        </is>
      </c>
      <c r="L518" s="39" t="inlineStr">
        <is>
          <t>New Lead</t>
        </is>
      </c>
      <c r="M518" s="38" t="n"/>
      <c r="N518" s="38" t="n"/>
      <c r="O518" s="38" t="n"/>
      <c r="P518" s="38" t="n">
        <v>2500</v>
      </c>
      <c r="Q518" s="38" t="n">
        <v>0</v>
      </c>
      <c r="R518" s="40">
        <f>IF(J518="","",TODAY()-DATE(LEFT(J518,4)*1,MID(J518,6,2)*1,RIGHT(J518,2)*1))</f>
        <v/>
      </c>
    </row>
    <row r="519" ht="18" customHeight="1" s="31">
      <c r="A519" s="34" t="n">
        <v>517</v>
      </c>
      <c r="B519" s="34" t="inlineStr">
        <is>
          <t>Michael</t>
        </is>
      </c>
      <c r="C519" s="34" t="inlineStr">
        <is>
          <t>Au-Mullaney</t>
        </is>
      </c>
      <c r="D519" s="34" t="inlineStr">
        <is>
          <t>Fordham University</t>
        </is>
      </c>
      <c r="E519" s="34" t="inlineStr">
        <is>
          <t>Philosophy</t>
        </is>
      </c>
      <c r="F519" s="42" t="inlineStr">
        <is>
          <t>Low</t>
        </is>
      </c>
      <c r="G519" s="42" t="inlineStr">
        <is>
          <t>Low</t>
        </is>
      </c>
      <c r="H519" s="34" t="inlineStr">
        <is>
          <t>maumullaney@fordham.edu</t>
        </is>
      </c>
      <c r="I519" s="34" t="inlineStr">
        <is>
          <t>2026-04-02</t>
        </is>
      </c>
      <c r="J519" s="34" t="n"/>
      <c r="K519" s="34" t="inlineStr">
        <is>
          <t>NO</t>
        </is>
      </c>
      <c r="L519" s="36" t="inlineStr">
        <is>
          <t>New Lead</t>
        </is>
      </c>
      <c r="M519" s="34" t="n"/>
      <c r="N519" s="34" t="n"/>
      <c r="O519" s="34" t="n"/>
      <c r="P519" s="34" t="n">
        <v>2500</v>
      </c>
      <c r="Q519" s="34" t="n">
        <v>0</v>
      </c>
      <c r="R519" s="37">
        <f>IF(J519="","",TODAY()-DATE(LEFT(J519,4)*1,MID(J519,6,2)*1,RIGHT(J519,2)*1))</f>
        <v/>
      </c>
    </row>
    <row r="520" ht="18" customHeight="1" s="31">
      <c r="A520" s="38" t="n">
        <v>518</v>
      </c>
      <c r="B520" s="38" t="inlineStr">
        <is>
          <t>Marshawn</t>
        </is>
      </c>
      <c r="C520" s="38" t="inlineStr">
        <is>
          <t>Brewer</t>
        </is>
      </c>
      <c r="D520" s="38" t="inlineStr">
        <is>
          <t>Fordham University</t>
        </is>
      </c>
      <c r="E520" s="38" t="inlineStr">
        <is>
          <t>Philosophy</t>
        </is>
      </c>
      <c r="F520" s="42" t="inlineStr">
        <is>
          <t>Low</t>
        </is>
      </c>
      <c r="G520" s="42" t="inlineStr">
        <is>
          <t>Low</t>
        </is>
      </c>
      <c r="H520" s="38" t="inlineStr">
        <is>
          <t>mbrewer8@fordham.edu</t>
        </is>
      </c>
      <c r="I520" s="38" t="inlineStr">
        <is>
          <t>2026-04-02</t>
        </is>
      </c>
      <c r="J520" s="38" t="n"/>
      <c r="K520" s="38" t="inlineStr">
        <is>
          <t>NO</t>
        </is>
      </c>
      <c r="L520" s="39" t="inlineStr">
        <is>
          <t>New Lead</t>
        </is>
      </c>
      <c r="M520" s="38" t="n"/>
      <c r="N520" s="38" t="n"/>
      <c r="O520" s="38" t="n"/>
      <c r="P520" s="38" t="n">
        <v>2500</v>
      </c>
      <c r="Q520" s="38" t="n">
        <v>0</v>
      </c>
      <c r="R520" s="40">
        <f>IF(J520="","",TODAY()-DATE(LEFT(J520,4)*1,MID(J520,6,2)*1,RIGHT(J520,2)*1))</f>
        <v/>
      </c>
    </row>
    <row r="521" ht="18" customHeight="1" s="31">
      <c r="A521" s="34" t="n">
        <v>519</v>
      </c>
      <c r="B521" s="34" t="inlineStr">
        <is>
          <t>Kenneth</t>
        </is>
      </c>
      <c r="C521" s="34" t="inlineStr">
        <is>
          <t>Bruce</t>
        </is>
      </c>
      <c r="D521" s="34" t="inlineStr">
        <is>
          <t>Fordham University</t>
        </is>
      </c>
      <c r="E521" s="34" t="inlineStr">
        <is>
          <t>Philosophy</t>
        </is>
      </c>
      <c r="F521" s="42" t="inlineStr">
        <is>
          <t>Low</t>
        </is>
      </c>
      <c r="G521" s="42" t="inlineStr">
        <is>
          <t>Low</t>
        </is>
      </c>
      <c r="H521" s="34" t="inlineStr">
        <is>
          <t>kbruce5@fordham.edu</t>
        </is>
      </c>
      <c r="I521" s="34" t="inlineStr">
        <is>
          <t>2026-04-02</t>
        </is>
      </c>
      <c r="J521" s="34" t="n"/>
      <c r="K521" s="34" t="inlineStr">
        <is>
          <t>NO</t>
        </is>
      </c>
      <c r="L521" s="36" t="inlineStr">
        <is>
          <t>New Lead</t>
        </is>
      </c>
      <c r="M521" s="34" t="n"/>
      <c r="N521" s="34" t="n"/>
      <c r="O521" s="34" t="n"/>
      <c r="P521" s="34" t="n">
        <v>2500</v>
      </c>
      <c r="Q521" s="34" t="n">
        <v>0</v>
      </c>
      <c r="R521" s="37">
        <f>IF(J521="","",TODAY()-DATE(LEFT(J521,4)*1,MID(J521,6,2)*1,RIGHT(J521,2)*1))</f>
        <v/>
      </c>
    </row>
    <row r="522" ht="18" customHeight="1" s="31">
      <c r="A522" s="38" t="n">
        <v>520</v>
      </c>
      <c r="B522" s="38" t="inlineStr">
        <is>
          <t>Preston</t>
        </is>
      </c>
      <c r="C522" s="38" t="inlineStr">
        <is>
          <t>Carter</t>
        </is>
      </c>
      <c r="D522" s="38" t="inlineStr">
        <is>
          <t>Fordham University</t>
        </is>
      </c>
      <c r="E522" s="38" t="inlineStr">
        <is>
          <t>Philosophy</t>
        </is>
      </c>
      <c r="F522" s="42" t="inlineStr">
        <is>
          <t>Low</t>
        </is>
      </c>
      <c r="G522" s="42" t="inlineStr">
        <is>
          <t>Low</t>
        </is>
      </c>
      <c r="H522" s="38" t="inlineStr">
        <is>
          <t>pcarter7@fordham.edu</t>
        </is>
      </c>
      <c r="I522" s="38" t="inlineStr">
        <is>
          <t>2026-04-02</t>
        </is>
      </c>
      <c r="J522" s="38" t="n"/>
      <c r="K522" s="38" t="inlineStr">
        <is>
          <t>NO</t>
        </is>
      </c>
      <c r="L522" s="39" t="inlineStr">
        <is>
          <t>New Lead</t>
        </is>
      </c>
      <c r="M522" s="38" t="n"/>
      <c r="N522" s="38" t="n"/>
      <c r="O522" s="38" t="n"/>
      <c r="P522" s="38" t="n">
        <v>2500</v>
      </c>
      <c r="Q522" s="38" t="n">
        <v>0</v>
      </c>
      <c r="R522" s="40">
        <f>IF(J522="","",TODAY()-DATE(LEFT(J522,4)*1,MID(J522,6,2)*1,RIGHT(J522,2)*1))</f>
        <v/>
      </c>
    </row>
    <row r="523" ht="18" customHeight="1" s="31">
      <c r="A523" s="34" t="n">
        <v>521</v>
      </c>
      <c r="B523" s="34" t="inlineStr">
        <is>
          <t>Charles Stafford</t>
        </is>
      </c>
      <c r="C523" s="34" t="inlineStr">
        <is>
          <t>Davis</t>
        </is>
      </c>
      <c r="D523" s="34" t="inlineStr">
        <is>
          <t>Fordham University</t>
        </is>
      </c>
      <c r="E523" s="34" t="inlineStr">
        <is>
          <t>Philosophy</t>
        </is>
      </c>
      <c r="F523" s="42" t="inlineStr">
        <is>
          <t>Low</t>
        </is>
      </c>
      <c r="G523" s="42" t="inlineStr">
        <is>
          <t>Low</t>
        </is>
      </c>
      <c r="H523" s="34" t="inlineStr">
        <is>
          <t>cdavis120@fordham.edu</t>
        </is>
      </c>
      <c r="I523" s="34" t="inlineStr">
        <is>
          <t>2026-04-02</t>
        </is>
      </c>
      <c r="J523" s="34" t="n"/>
      <c r="K523" s="34" t="inlineStr">
        <is>
          <t>NO</t>
        </is>
      </c>
      <c r="L523" s="36" t="inlineStr">
        <is>
          <t>New Lead</t>
        </is>
      </c>
      <c r="M523" s="34" t="n"/>
      <c r="N523" s="34" t="n"/>
      <c r="O523" s="34" t="n"/>
      <c r="P523" s="34" t="n">
        <v>2500</v>
      </c>
      <c r="Q523" s="34" t="n">
        <v>0</v>
      </c>
      <c r="R523" s="37">
        <f>IF(J523="","",TODAY()-DATE(LEFT(J523,4)*1,MID(J523,6,2)*1,RIGHT(J523,2)*1))</f>
        <v/>
      </c>
    </row>
    <row r="524" ht="18" customHeight="1" s="31">
      <c r="A524" s="38" t="n">
        <v>522</v>
      </c>
      <c r="B524" s="38" t="inlineStr">
        <is>
          <t>Daniel</t>
        </is>
      </c>
      <c r="C524" s="38" t="inlineStr">
        <is>
          <t>Delgado Poveda</t>
        </is>
      </c>
      <c r="D524" s="38" t="inlineStr">
        <is>
          <t>Fordham University</t>
        </is>
      </c>
      <c r="E524" s="38" t="inlineStr">
        <is>
          <t>Philosophy</t>
        </is>
      </c>
      <c r="F524" s="42" t="inlineStr">
        <is>
          <t>Low</t>
        </is>
      </c>
      <c r="G524" s="42" t="inlineStr">
        <is>
          <t>Low</t>
        </is>
      </c>
      <c r="H524" s="38" t="inlineStr">
        <is>
          <t>dpoveda1@fordham.edu</t>
        </is>
      </c>
      <c r="I524" s="38" t="inlineStr">
        <is>
          <t>2026-04-02</t>
        </is>
      </c>
      <c r="J524" s="38" t="n"/>
      <c r="K524" s="38" t="inlineStr">
        <is>
          <t>NO</t>
        </is>
      </c>
      <c r="L524" s="39" t="inlineStr">
        <is>
          <t>New Lead</t>
        </is>
      </c>
      <c r="M524" s="38" t="n"/>
      <c r="N524" s="38" t="n"/>
      <c r="O524" s="38" t="n"/>
      <c r="P524" s="38" t="n">
        <v>2500</v>
      </c>
      <c r="Q524" s="38" t="n">
        <v>0</v>
      </c>
      <c r="R524" s="40">
        <f>IF(J524="","",TODAY()-DATE(LEFT(J524,4)*1,MID(J524,6,2)*1,RIGHT(J524,2)*1))</f>
        <v/>
      </c>
    </row>
    <row r="525" ht="18" customHeight="1" s="31">
      <c r="A525" s="34" t="n">
        <v>523</v>
      </c>
      <c r="B525" s="34" t="inlineStr">
        <is>
          <t>Richard</t>
        </is>
      </c>
      <c r="C525" s="34" t="inlineStr">
        <is>
          <t>DeSantis</t>
        </is>
      </c>
      <c r="D525" s="34" t="inlineStr">
        <is>
          <t>Fordham University</t>
        </is>
      </c>
      <c r="E525" s="34" t="inlineStr">
        <is>
          <t>Philosophy</t>
        </is>
      </c>
      <c r="F525" s="42" t="inlineStr">
        <is>
          <t>Low</t>
        </is>
      </c>
      <c r="G525" s="42" t="inlineStr">
        <is>
          <t>Low</t>
        </is>
      </c>
      <c r="H525" s="34" t="inlineStr">
        <is>
          <t>rdesantis5@fordham.edu</t>
        </is>
      </c>
      <c r="I525" s="34" t="inlineStr">
        <is>
          <t>2026-04-02</t>
        </is>
      </c>
      <c r="J525" s="34" t="n"/>
      <c r="K525" s="34" t="inlineStr">
        <is>
          <t>NO</t>
        </is>
      </c>
      <c r="L525" s="36" t="inlineStr">
        <is>
          <t>New Lead</t>
        </is>
      </c>
      <c r="M525" s="34" t="n"/>
      <c r="N525" s="34" t="n"/>
      <c r="O525" s="34" t="n"/>
      <c r="P525" s="34" t="n">
        <v>2500</v>
      </c>
      <c r="Q525" s="34" t="n">
        <v>0</v>
      </c>
      <c r="R525" s="37">
        <f>IF(J525="","",TODAY()-DATE(LEFT(J525,4)*1,MID(J525,6,2)*1,RIGHT(J525,2)*1))</f>
        <v/>
      </c>
    </row>
    <row r="526" ht="18" customHeight="1" s="31">
      <c r="A526" s="38" t="n">
        <v>524</v>
      </c>
      <c r="B526" s="38" t="inlineStr">
        <is>
          <t>Alfredo</t>
        </is>
      </c>
      <c r="C526" s="38" t="inlineStr">
        <is>
          <t>Duenas</t>
        </is>
      </c>
      <c r="D526" s="38" t="inlineStr">
        <is>
          <t>Fordham University</t>
        </is>
      </c>
      <c r="E526" s="38" t="inlineStr">
        <is>
          <t>Philosophy</t>
        </is>
      </c>
      <c r="F526" s="42" t="inlineStr">
        <is>
          <t>Low</t>
        </is>
      </c>
      <c r="G526" s="42" t="inlineStr">
        <is>
          <t>Low</t>
        </is>
      </c>
      <c r="H526" s="38" t="inlineStr">
        <is>
          <t>aduenas1@fordham.edu</t>
        </is>
      </c>
      <c r="I526" s="38" t="inlineStr">
        <is>
          <t>2026-04-02</t>
        </is>
      </c>
      <c r="J526" s="38" t="n"/>
      <c r="K526" s="38" t="inlineStr">
        <is>
          <t>NO</t>
        </is>
      </c>
      <c r="L526" s="39" t="inlineStr">
        <is>
          <t>New Lead</t>
        </is>
      </c>
      <c r="M526" s="38" t="n"/>
      <c r="N526" s="38" t="n"/>
      <c r="O526" s="38" t="n"/>
      <c r="P526" s="38" t="n">
        <v>2500</v>
      </c>
      <c r="Q526" s="38" t="n">
        <v>0</v>
      </c>
      <c r="R526" s="40">
        <f>IF(J526="","",TODAY()-DATE(LEFT(J526,4)*1,MID(J526,6,2)*1,RIGHT(J526,2)*1))</f>
        <v/>
      </c>
    </row>
    <row r="527" ht="18" customHeight="1" s="31">
      <c r="A527" s="34" t="n">
        <v>525</v>
      </c>
      <c r="B527" s="34" t="inlineStr">
        <is>
          <t>Diyanshu</t>
        </is>
      </c>
      <c r="C527" s="34" t="inlineStr">
        <is>
          <t>Emandi</t>
        </is>
      </c>
      <c r="D527" s="34" t="inlineStr">
        <is>
          <t>Fordham University</t>
        </is>
      </c>
      <c r="E527" s="34" t="inlineStr">
        <is>
          <t>Philosophy</t>
        </is>
      </c>
      <c r="F527" s="42" t="inlineStr">
        <is>
          <t>Low</t>
        </is>
      </c>
      <c r="G527" s="42" t="inlineStr">
        <is>
          <t>Low</t>
        </is>
      </c>
      <c r="H527" s="34" t="inlineStr">
        <is>
          <t>demandi@fordham.edu</t>
        </is>
      </c>
      <c r="I527" s="34" t="inlineStr">
        <is>
          <t>2026-04-02</t>
        </is>
      </c>
      <c r="J527" s="34" t="n"/>
      <c r="K527" s="34" t="inlineStr">
        <is>
          <t>NO</t>
        </is>
      </c>
      <c r="L527" s="36" t="inlineStr">
        <is>
          <t>New Lead</t>
        </is>
      </c>
      <c r="M527" s="34" t="n"/>
      <c r="N527" s="34" t="n"/>
      <c r="O527" s="34" t="n"/>
      <c r="P527" s="34" t="n">
        <v>2500</v>
      </c>
      <c r="Q527" s="34" t="n">
        <v>0</v>
      </c>
      <c r="R527" s="37">
        <f>IF(J527="","",TODAY()-DATE(LEFT(J527,4)*1,MID(J527,6,2)*1,RIGHT(J527,2)*1))</f>
        <v/>
      </c>
    </row>
    <row r="528" ht="18" customHeight="1" s="31">
      <c r="A528" s="38" t="n">
        <v>526</v>
      </c>
      <c r="B528" s="38" t="inlineStr">
        <is>
          <t>Christian</t>
        </is>
      </c>
      <c r="C528" s="38" t="inlineStr">
        <is>
          <t>Emrich</t>
        </is>
      </c>
      <c r="D528" s="38" t="inlineStr">
        <is>
          <t>Fordham University</t>
        </is>
      </c>
      <c r="E528" s="38" t="inlineStr">
        <is>
          <t>Philosophy</t>
        </is>
      </c>
      <c r="F528" s="42" t="inlineStr">
        <is>
          <t>Low</t>
        </is>
      </c>
      <c r="G528" s="42" t="inlineStr">
        <is>
          <t>Low</t>
        </is>
      </c>
      <c r="H528" s="38" t="inlineStr">
        <is>
          <t>cemrich@fordham.edu</t>
        </is>
      </c>
      <c r="I528" s="38" t="inlineStr">
        <is>
          <t>2026-04-02</t>
        </is>
      </c>
      <c r="J528" s="38" t="n"/>
      <c r="K528" s="38" t="inlineStr">
        <is>
          <t>NO</t>
        </is>
      </c>
      <c r="L528" s="39" t="inlineStr">
        <is>
          <t>New Lead</t>
        </is>
      </c>
      <c r="M528" s="38" t="n"/>
      <c r="N528" s="38" t="n"/>
      <c r="O528" s="38" t="n"/>
      <c r="P528" s="38" t="n">
        <v>2500</v>
      </c>
      <c r="Q528" s="38" t="n">
        <v>0</v>
      </c>
      <c r="R528" s="40">
        <f>IF(J528="","",TODAY()-DATE(LEFT(J528,4)*1,MID(J528,6,2)*1,RIGHT(J528,2)*1))</f>
        <v/>
      </c>
    </row>
    <row r="529" ht="18" customHeight="1" s="31">
      <c r="A529" s="34" t="n">
        <v>527</v>
      </c>
      <c r="B529" s="34" t="inlineStr">
        <is>
          <t>Emma</t>
        </is>
      </c>
      <c r="C529" s="34" t="inlineStr">
        <is>
          <t>Emrich</t>
        </is>
      </c>
      <c r="D529" s="34" t="inlineStr">
        <is>
          <t>Fordham University</t>
        </is>
      </c>
      <c r="E529" s="34" t="inlineStr">
        <is>
          <t>Philosophy</t>
        </is>
      </c>
      <c r="F529" s="42" t="inlineStr">
        <is>
          <t>Low</t>
        </is>
      </c>
      <c r="G529" s="42" t="inlineStr">
        <is>
          <t>Low</t>
        </is>
      </c>
      <c r="H529" s="34" t="inlineStr">
        <is>
          <t>eemrich@fordham.edu</t>
        </is>
      </c>
      <c r="I529" s="34" t="inlineStr">
        <is>
          <t>2026-04-02</t>
        </is>
      </c>
      <c r="J529" s="34" t="n"/>
      <c r="K529" s="34" t="inlineStr">
        <is>
          <t>NO</t>
        </is>
      </c>
      <c r="L529" s="36" t="inlineStr">
        <is>
          <t>New Lead</t>
        </is>
      </c>
      <c r="M529" s="34" t="n"/>
      <c r="N529" s="34" t="n"/>
      <c r="O529" s="34" t="n"/>
      <c r="P529" s="34" t="n">
        <v>2500</v>
      </c>
      <c r="Q529" s="34" t="n">
        <v>0</v>
      </c>
      <c r="R529" s="37">
        <f>IF(J529="","",TODAY()-DATE(LEFT(J529,4)*1,MID(J529,6,2)*1,RIGHT(J529,2)*1))</f>
        <v/>
      </c>
    </row>
    <row r="530" ht="18" customHeight="1" s="31">
      <c r="A530" s="38" t="n">
        <v>528</v>
      </c>
      <c r="B530" s="38" t="inlineStr">
        <is>
          <t>Lia</t>
        </is>
      </c>
      <c r="C530" s="38" t="inlineStr">
        <is>
          <t>Fior</t>
        </is>
      </c>
      <c r="D530" s="38" t="inlineStr">
        <is>
          <t>Fordham University</t>
        </is>
      </c>
      <c r="E530" s="38" t="inlineStr">
        <is>
          <t>Philosophy</t>
        </is>
      </c>
      <c r="F530" s="42" t="inlineStr">
        <is>
          <t>Low</t>
        </is>
      </c>
      <c r="G530" s="42" t="inlineStr">
        <is>
          <t>Low</t>
        </is>
      </c>
      <c r="H530" s="38" t="inlineStr">
        <is>
          <t>lfior@fordham.edu</t>
        </is>
      </c>
      <c r="I530" s="38" t="inlineStr">
        <is>
          <t>2026-04-02</t>
        </is>
      </c>
      <c r="J530" s="38" t="n"/>
      <c r="K530" s="38" t="inlineStr">
        <is>
          <t>NO</t>
        </is>
      </c>
      <c r="L530" s="39" t="inlineStr">
        <is>
          <t>New Lead</t>
        </is>
      </c>
      <c r="M530" s="38" t="n"/>
      <c r="N530" s="38" t="n"/>
      <c r="O530" s="38" t="n"/>
      <c r="P530" s="38" t="n">
        <v>2500</v>
      </c>
      <c r="Q530" s="38" t="n">
        <v>0</v>
      </c>
      <c r="R530" s="40">
        <f>IF(J530="","",TODAY()-DATE(LEFT(J530,4)*1,MID(J530,6,2)*1,RIGHT(J530,2)*1))</f>
        <v/>
      </c>
    </row>
    <row r="531" ht="18" customHeight="1" s="31">
      <c r="A531" s="34" t="n">
        <v>529</v>
      </c>
      <c r="B531" s="34" t="inlineStr">
        <is>
          <t>Joel</t>
        </is>
      </c>
      <c r="C531" s="34" t="inlineStr">
        <is>
          <t>Flores</t>
        </is>
      </c>
      <c r="D531" s="34" t="inlineStr">
        <is>
          <t>Fordham University</t>
        </is>
      </c>
      <c r="E531" s="34" t="inlineStr">
        <is>
          <t>Philosophy</t>
        </is>
      </c>
      <c r="F531" s="42" t="inlineStr">
        <is>
          <t>Low</t>
        </is>
      </c>
      <c r="G531" s="42" t="inlineStr">
        <is>
          <t>Low</t>
        </is>
      </c>
      <c r="H531" s="34" t="inlineStr">
        <is>
          <t>jflores91@fordham.edu</t>
        </is>
      </c>
      <c r="I531" s="34" t="inlineStr">
        <is>
          <t>2026-04-02</t>
        </is>
      </c>
      <c r="J531" s="34" t="n"/>
      <c r="K531" s="34" t="inlineStr">
        <is>
          <t>NO</t>
        </is>
      </c>
      <c r="L531" s="36" t="inlineStr">
        <is>
          <t>New Lead</t>
        </is>
      </c>
      <c r="M531" s="34" t="n"/>
      <c r="N531" s="34" t="n"/>
      <c r="O531" s="34" t="n"/>
      <c r="P531" s="34" t="n">
        <v>2500</v>
      </c>
      <c r="Q531" s="34" t="n">
        <v>0</v>
      </c>
      <c r="R531" s="37">
        <f>IF(J531="","",TODAY()-DATE(LEFT(J531,4)*1,MID(J531,6,2)*1,RIGHT(J531,2)*1))</f>
        <v/>
      </c>
    </row>
    <row r="532" ht="18" customHeight="1" s="31">
      <c r="A532" s="38" t="n">
        <v>530</v>
      </c>
      <c r="B532" s="38" t="inlineStr">
        <is>
          <t>Ethan</t>
        </is>
      </c>
      <c r="C532" s="38" t="inlineStr">
        <is>
          <t>Gettes</t>
        </is>
      </c>
      <c r="D532" s="38" t="inlineStr">
        <is>
          <t>Fordham University</t>
        </is>
      </c>
      <c r="E532" s="38" t="inlineStr">
        <is>
          <t>Philosophy</t>
        </is>
      </c>
      <c r="F532" s="42" t="inlineStr">
        <is>
          <t>Low</t>
        </is>
      </c>
      <c r="G532" s="42" t="inlineStr">
        <is>
          <t>Low</t>
        </is>
      </c>
      <c r="H532" s="38" t="inlineStr">
        <is>
          <t>egettes@fordham.edu</t>
        </is>
      </c>
      <c r="I532" s="38" t="inlineStr">
        <is>
          <t>2026-04-02</t>
        </is>
      </c>
      <c r="J532" s="38" t="n"/>
      <c r="K532" s="38" t="inlineStr">
        <is>
          <t>NO</t>
        </is>
      </c>
      <c r="L532" s="39" t="inlineStr">
        <is>
          <t>New Lead</t>
        </is>
      </c>
      <c r="M532" s="38" t="n"/>
      <c r="N532" s="38" t="n"/>
      <c r="O532" s="38" t="n"/>
      <c r="P532" s="38" t="n">
        <v>2500</v>
      </c>
      <c r="Q532" s="38" t="n">
        <v>0</v>
      </c>
      <c r="R532" s="40">
        <f>IF(J532="","",TODAY()-DATE(LEFT(J532,4)*1,MID(J532,6,2)*1,RIGHT(J532,2)*1))</f>
        <v/>
      </c>
    </row>
    <row r="533" ht="18" customHeight="1" s="31">
      <c r="A533" s="34" t="n">
        <v>531</v>
      </c>
      <c r="B533" s="34" t="inlineStr">
        <is>
          <t>Matthew</t>
        </is>
      </c>
      <c r="C533" s="34" t="inlineStr">
        <is>
          <t>Glaser</t>
        </is>
      </c>
      <c r="D533" s="34" t="inlineStr">
        <is>
          <t>Fordham University</t>
        </is>
      </c>
      <c r="E533" s="34" t="inlineStr">
        <is>
          <t>Philosophy</t>
        </is>
      </c>
      <c r="F533" s="42" t="inlineStr">
        <is>
          <t>Low</t>
        </is>
      </c>
      <c r="G533" s="42" t="inlineStr">
        <is>
          <t>Low</t>
        </is>
      </c>
      <c r="H533" s="34" t="inlineStr">
        <is>
          <t>mglaser7@fordham.edu</t>
        </is>
      </c>
      <c r="I533" s="34" t="inlineStr">
        <is>
          <t>2026-04-02</t>
        </is>
      </c>
      <c r="J533" s="34" t="n"/>
      <c r="K533" s="34" t="inlineStr">
        <is>
          <t>NO</t>
        </is>
      </c>
      <c r="L533" s="36" t="inlineStr">
        <is>
          <t>New Lead</t>
        </is>
      </c>
      <c r="M533" s="34" t="n"/>
      <c r="N533" s="34" t="n"/>
      <c r="O533" s="34" t="n"/>
      <c r="P533" s="34" t="n">
        <v>2500</v>
      </c>
      <c r="Q533" s="34" t="n">
        <v>0</v>
      </c>
      <c r="R533" s="37">
        <f>IF(J533="","",TODAY()-DATE(LEFT(J533,4)*1,MID(J533,6,2)*1,RIGHT(J533,2)*1))</f>
        <v/>
      </c>
    </row>
    <row r="534" ht="18" customHeight="1" s="31">
      <c r="A534" s="38" t="n">
        <v>532</v>
      </c>
      <c r="B534" s="38" t="inlineStr">
        <is>
          <t>Cristina</t>
        </is>
      </c>
      <c r="C534" s="38" t="inlineStr">
        <is>
          <t>Gonzalez-Garcia</t>
        </is>
      </c>
      <c r="D534" s="38" t="inlineStr">
        <is>
          <t>Fordham University</t>
        </is>
      </c>
      <c r="E534" s="38" t="inlineStr">
        <is>
          <t>Philosophy</t>
        </is>
      </c>
      <c r="F534" s="42" t="inlineStr">
        <is>
          <t>Low</t>
        </is>
      </c>
      <c r="G534" s="42" t="inlineStr">
        <is>
          <t>Low</t>
        </is>
      </c>
      <c r="H534" s="38" t="inlineStr">
        <is>
          <t>cgarciagonzalez1@forhdam.edu</t>
        </is>
      </c>
      <c r="I534" s="38" t="inlineStr">
        <is>
          <t>2026-04-02</t>
        </is>
      </c>
      <c r="J534" s="38" t="n"/>
      <c r="K534" s="38" t="inlineStr">
        <is>
          <t>NO</t>
        </is>
      </c>
      <c r="L534" s="39" t="inlineStr">
        <is>
          <t>New Lead</t>
        </is>
      </c>
      <c r="M534" s="38" t="n"/>
      <c r="N534" s="38" t="n"/>
      <c r="O534" s="38" t="n"/>
      <c r="P534" s="38" t="n">
        <v>2500</v>
      </c>
      <c r="Q534" s="38" t="n">
        <v>0</v>
      </c>
      <c r="R534" s="40">
        <f>IF(J534="","",TODAY()-DATE(LEFT(J534,4)*1,MID(J534,6,2)*1,RIGHT(J534,2)*1))</f>
        <v/>
      </c>
    </row>
    <row r="535" ht="18" customHeight="1" s="31">
      <c r="A535" s="34" t="n">
        <v>533</v>
      </c>
      <c r="B535" s="34" t="inlineStr">
        <is>
          <t>Joseph</t>
        </is>
      </c>
      <c r="C535" s="34" t="inlineStr">
        <is>
          <t>Gruber</t>
        </is>
      </c>
      <c r="D535" s="34" t="inlineStr">
        <is>
          <t>Fordham University</t>
        </is>
      </c>
      <c r="E535" s="34" t="inlineStr">
        <is>
          <t>Philosophy</t>
        </is>
      </c>
      <c r="F535" s="42" t="inlineStr">
        <is>
          <t>Low</t>
        </is>
      </c>
      <c r="G535" s="42" t="inlineStr">
        <is>
          <t>Low</t>
        </is>
      </c>
      <c r="H535" s="34" t="inlineStr">
        <is>
          <t>jgruber3@fordham.edu</t>
        </is>
      </c>
      <c r="I535" s="34" t="inlineStr">
        <is>
          <t>2026-04-02</t>
        </is>
      </c>
      <c r="J535" s="34" t="n"/>
      <c r="K535" s="34" t="inlineStr">
        <is>
          <t>NO</t>
        </is>
      </c>
      <c r="L535" s="36" t="inlineStr">
        <is>
          <t>New Lead</t>
        </is>
      </c>
      <c r="M535" s="34" t="n"/>
      <c r="N535" s="34" t="n"/>
      <c r="O535" s="34" t="n"/>
      <c r="P535" s="34" t="n">
        <v>2500</v>
      </c>
      <c r="Q535" s="34" t="n">
        <v>0</v>
      </c>
      <c r="R535" s="37">
        <f>IF(J535="","",TODAY()-DATE(LEFT(J535,4)*1,MID(J535,6,2)*1,RIGHT(J535,2)*1))</f>
        <v/>
      </c>
    </row>
    <row r="536" ht="18" customHeight="1" s="31">
      <c r="A536" s="38" t="n">
        <v>534</v>
      </c>
      <c r="B536" s="38" t="inlineStr">
        <is>
          <t>Ginger</t>
        </is>
      </c>
      <c r="C536" s="38" t="inlineStr">
        <is>
          <t>Guin</t>
        </is>
      </c>
      <c r="D536" s="38" t="inlineStr">
        <is>
          <t>Fordham University</t>
        </is>
      </c>
      <c r="E536" s="38" t="inlineStr">
        <is>
          <t>Philosophy</t>
        </is>
      </c>
      <c r="F536" s="42" t="inlineStr">
        <is>
          <t>Low</t>
        </is>
      </c>
      <c r="G536" s="42" t="inlineStr">
        <is>
          <t>Low</t>
        </is>
      </c>
      <c r="H536" s="38" t="inlineStr">
        <is>
          <t>gguin@fordham.edu</t>
        </is>
      </c>
      <c r="I536" s="38" t="inlineStr">
        <is>
          <t>2026-04-02</t>
        </is>
      </c>
      <c r="J536" s="38" t="n"/>
      <c r="K536" s="38" t="inlineStr">
        <is>
          <t>NO</t>
        </is>
      </c>
      <c r="L536" s="39" t="inlineStr">
        <is>
          <t>New Lead</t>
        </is>
      </c>
      <c r="M536" s="38" t="n"/>
      <c r="N536" s="38" t="n"/>
      <c r="O536" s="38" t="n"/>
      <c r="P536" s="38" t="n">
        <v>2500</v>
      </c>
      <c r="Q536" s="38" t="n">
        <v>0</v>
      </c>
      <c r="R536" s="40">
        <f>IF(J536="","",TODAY()-DATE(LEFT(J536,4)*1,MID(J536,6,2)*1,RIGHT(J536,2)*1))</f>
        <v/>
      </c>
    </row>
    <row r="537" ht="18" customHeight="1" s="31">
      <c r="A537" s="34" t="n">
        <v>535</v>
      </c>
      <c r="B537" s="34" t="inlineStr">
        <is>
          <t>Noah</t>
        </is>
      </c>
      <c r="C537" s="34" t="inlineStr">
        <is>
          <t>Hahn</t>
        </is>
      </c>
      <c r="D537" s="34" t="inlineStr">
        <is>
          <t>Fordham University</t>
        </is>
      </c>
      <c r="E537" s="34" t="inlineStr">
        <is>
          <t>Philosophy</t>
        </is>
      </c>
      <c r="F537" s="42" t="inlineStr">
        <is>
          <t>Low</t>
        </is>
      </c>
      <c r="G537" s="42" t="inlineStr">
        <is>
          <t>Low</t>
        </is>
      </c>
      <c r="H537" s="34" t="inlineStr">
        <is>
          <t>nhahn2@fordham.edu</t>
        </is>
      </c>
      <c r="I537" s="34" t="inlineStr">
        <is>
          <t>2026-04-02</t>
        </is>
      </c>
      <c r="J537" s="34" t="n"/>
      <c r="K537" s="34" t="inlineStr">
        <is>
          <t>NO</t>
        </is>
      </c>
      <c r="L537" s="36" t="inlineStr">
        <is>
          <t>New Lead</t>
        </is>
      </c>
      <c r="M537" s="34" t="n"/>
      <c r="N537" s="34" t="n"/>
      <c r="O537" s="34" t="n"/>
      <c r="P537" s="34" t="n">
        <v>2500</v>
      </c>
      <c r="Q537" s="34" t="n">
        <v>0</v>
      </c>
      <c r="R537" s="37">
        <f>IF(J537="","",TODAY()-DATE(LEFT(J537,4)*1,MID(J537,6,2)*1,RIGHT(J537,2)*1))</f>
        <v/>
      </c>
    </row>
    <row r="538" ht="18" customHeight="1" s="31">
      <c r="A538" s="38" t="n">
        <v>536</v>
      </c>
      <c r="B538" s="38" t="inlineStr">
        <is>
          <t>Christian</t>
        </is>
      </c>
      <c r="C538" s="38" t="inlineStr">
        <is>
          <t>Halstead</t>
        </is>
      </c>
      <c r="D538" s="38" t="inlineStr">
        <is>
          <t>Fordham University</t>
        </is>
      </c>
      <c r="E538" s="38" t="inlineStr">
        <is>
          <t>Philosophy</t>
        </is>
      </c>
      <c r="F538" s="42" t="inlineStr">
        <is>
          <t>Low</t>
        </is>
      </c>
      <c r="G538" s="42" t="inlineStr">
        <is>
          <t>Low</t>
        </is>
      </c>
      <c r="H538" s="38" t="inlineStr">
        <is>
          <t>chalstead1@fordham.edu</t>
        </is>
      </c>
      <c r="I538" s="38" t="inlineStr">
        <is>
          <t>2026-04-02</t>
        </is>
      </c>
      <c r="J538" s="38" t="n"/>
      <c r="K538" s="38" t="inlineStr">
        <is>
          <t>NO</t>
        </is>
      </c>
      <c r="L538" s="39" t="inlineStr">
        <is>
          <t>New Lead</t>
        </is>
      </c>
      <c r="M538" s="38" t="n"/>
      <c r="N538" s="38" t="n"/>
      <c r="O538" s="38" t="n"/>
      <c r="P538" s="38" t="n">
        <v>2500</v>
      </c>
      <c r="Q538" s="38" t="n">
        <v>0</v>
      </c>
      <c r="R538" s="40">
        <f>IF(J538="","",TODAY()-DATE(LEFT(J538,4)*1,MID(J538,6,2)*1,RIGHT(J538,2)*1))</f>
        <v/>
      </c>
    </row>
    <row r="539" ht="18" customHeight="1" s="31">
      <c r="A539" s="34" t="n">
        <v>537</v>
      </c>
      <c r="B539" s="34" t="inlineStr">
        <is>
          <t>Will</t>
        </is>
      </c>
      <c r="C539" s="34" t="inlineStr">
        <is>
          <t>Hartl</t>
        </is>
      </c>
      <c r="D539" s="34" t="inlineStr">
        <is>
          <t>Fordham University</t>
        </is>
      </c>
      <c r="E539" s="34" t="inlineStr">
        <is>
          <t>Philosophy</t>
        </is>
      </c>
      <c r="F539" s="42" t="inlineStr">
        <is>
          <t>Low</t>
        </is>
      </c>
      <c r="G539" s="42" t="inlineStr">
        <is>
          <t>Low</t>
        </is>
      </c>
      <c r="H539" s="34" t="inlineStr">
        <is>
          <t>wh@fordham.edu</t>
        </is>
      </c>
      <c r="I539" s="34" t="inlineStr">
        <is>
          <t>2026-04-02</t>
        </is>
      </c>
      <c r="J539" s="34" t="n"/>
      <c r="K539" s="34" t="inlineStr">
        <is>
          <t>NO</t>
        </is>
      </c>
      <c r="L539" s="36" t="inlineStr">
        <is>
          <t>New Lead</t>
        </is>
      </c>
      <c r="M539" s="34" t="n"/>
      <c r="N539" s="34" t="n"/>
      <c r="O539" s="34" t="n"/>
      <c r="P539" s="34" t="n">
        <v>2500</v>
      </c>
      <c r="Q539" s="34" t="n">
        <v>0</v>
      </c>
      <c r="R539" s="37">
        <f>IF(J539="","",TODAY()-DATE(LEFT(J539,4)*1,MID(J539,6,2)*1,RIGHT(J539,2)*1))</f>
        <v/>
      </c>
    </row>
    <row r="540" ht="18" customHeight="1" s="31">
      <c r="A540" s="38" t="n">
        <v>538</v>
      </c>
      <c r="B540" s="38" t="inlineStr">
        <is>
          <t>Lily</t>
        </is>
      </c>
      <c r="C540" s="38" t="inlineStr">
        <is>
          <t>Kerhulas</t>
        </is>
      </c>
      <c r="D540" s="38" t="inlineStr">
        <is>
          <t>Fordham University</t>
        </is>
      </c>
      <c r="E540" s="38" t="inlineStr">
        <is>
          <t>Philosophy</t>
        </is>
      </c>
      <c r="F540" s="42" t="inlineStr">
        <is>
          <t>Low</t>
        </is>
      </c>
      <c r="G540" s="42" t="inlineStr">
        <is>
          <t>Low</t>
        </is>
      </c>
      <c r="H540" s="38" t="inlineStr">
        <is>
          <t>lspirtos@fordham.edu</t>
        </is>
      </c>
      <c r="I540" s="38" t="inlineStr">
        <is>
          <t>2026-04-02</t>
        </is>
      </c>
      <c r="J540" s="38" t="n"/>
      <c r="K540" s="38" t="inlineStr">
        <is>
          <t>NO</t>
        </is>
      </c>
      <c r="L540" s="39" t="inlineStr">
        <is>
          <t>New Lead</t>
        </is>
      </c>
      <c r="M540" s="38" t="n"/>
      <c r="N540" s="38" t="n"/>
      <c r="O540" s="38" t="n"/>
      <c r="P540" s="38" t="n">
        <v>2500</v>
      </c>
      <c r="Q540" s="38" t="n">
        <v>0</v>
      </c>
      <c r="R540" s="40">
        <f>IF(J540="","",TODAY()-DATE(LEFT(J540,4)*1,MID(J540,6,2)*1,RIGHT(J540,2)*1))</f>
        <v/>
      </c>
    </row>
    <row r="541" ht="18" customHeight="1" s="31">
      <c r="A541" s="34" t="n">
        <v>539</v>
      </c>
      <c r="B541" s="34" t="inlineStr">
        <is>
          <t>Ebru</t>
        </is>
      </c>
      <c r="C541" s="34" t="inlineStr">
        <is>
          <t>Kizilkaya-Unal</t>
        </is>
      </c>
      <c r="D541" s="34" t="inlineStr">
        <is>
          <t>Fordham University</t>
        </is>
      </c>
      <c r="E541" s="34" t="inlineStr">
        <is>
          <t>Philosophy</t>
        </is>
      </c>
      <c r="F541" s="42" t="inlineStr">
        <is>
          <t>Low</t>
        </is>
      </c>
      <c r="G541" s="42" t="inlineStr">
        <is>
          <t>Low</t>
        </is>
      </c>
      <c r="H541" s="34" t="inlineStr">
        <is>
          <t>ekizilkaya@fordham.edu</t>
        </is>
      </c>
      <c r="I541" s="34" t="inlineStr">
        <is>
          <t>2026-04-02</t>
        </is>
      </c>
      <c r="J541" s="34" t="n"/>
      <c r="K541" s="34" t="inlineStr">
        <is>
          <t>NO</t>
        </is>
      </c>
      <c r="L541" s="36" t="inlineStr">
        <is>
          <t>New Lead</t>
        </is>
      </c>
      <c r="M541" s="34" t="n"/>
      <c r="N541" s="34" t="n"/>
      <c r="O541" s="34" t="n"/>
      <c r="P541" s="34" t="n">
        <v>2500</v>
      </c>
      <c r="Q541" s="34" t="n">
        <v>0</v>
      </c>
      <c r="R541" s="37">
        <f>IF(J541="","",TODAY()-DATE(LEFT(J541,4)*1,MID(J541,6,2)*1,RIGHT(J541,2)*1))</f>
        <v/>
      </c>
    </row>
    <row r="542" ht="18" customHeight="1" s="31">
      <c r="A542" s="38" t="n">
        <v>540</v>
      </c>
      <c r="B542" s="38" t="inlineStr">
        <is>
          <t>Gage</t>
        </is>
      </c>
      <c r="C542" s="38" t="inlineStr">
        <is>
          <t>Krause</t>
        </is>
      </c>
      <c r="D542" s="38" t="inlineStr">
        <is>
          <t>Fordham University</t>
        </is>
      </c>
      <c r="E542" s="38" t="inlineStr">
        <is>
          <t>Philosophy</t>
        </is>
      </c>
      <c r="F542" s="42" t="inlineStr">
        <is>
          <t>Low</t>
        </is>
      </c>
      <c r="G542" s="42" t="inlineStr">
        <is>
          <t>Low</t>
        </is>
      </c>
      <c r="H542" s="38" t="inlineStr">
        <is>
          <t>rkrause5@fordham.edu</t>
        </is>
      </c>
      <c r="I542" s="38" t="inlineStr">
        <is>
          <t>2026-04-02</t>
        </is>
      </c>
      <c r="J542" s="38" t="n"/>
      <c r="K542" s="38" t="inlineStr">
        <is>
          <t>NO</t>
        </is>
      </c>
      <c r="L542" s="39" t="inlineStr">
        <is>
          <t>New Lead</t>
        </is>
      </c>
      <c r="M542" s="38" t="n"/>
      <c r="N542" s="38" t="n"/>
      <c r="O542" s="38" t="n"/>
      <c r="P542" s="38" t="n">
        <v>2500</v>
      </c>
      <c r="Q542" s="38" t="n">
        <v>0</v>
      </c>
      <c r="R542" s="40">
        <f>IF(J542="","",TODAY()-DATE(LEFT(J542,4)*1,MID(J542,6,2)*1,RIGHT(J542,2)*1))</f>
        <v/>
      </c>
    </row>
    <row r="543" ht="18" customHeight="1" s="31">
      <c r="A543" s="34" t="n">
        <v>541</v>
      </c>
      <c r="B543" s="34" t="inlineStr">
        <is>
          <t>Tore</t>
        </is>
      </c>
      <c r="C543" s="34" t="inlineStr">
        <is>
          <t>Levander</t>
        </is>
      </c>
      <c r="D543" s="34" t="inlineStr">
        <is>
          <t>Fordham University</t>
        </is>
      </c>
      <c r="E543" s="34" t="inlineStr">
        <is>
          <t>Philosophy</t>
        </is>
      </c>
      <c r="F543" s="42" t="inlineStr">
        <is>
          <t>Low</t>
        </is>
      </c>
      <c r="G543" s="42" t="inlineStr">
        <is>
          <t>Low</t>
        </is>
      </c>
      <c r="H543" s="34" t="inlineStr">
        <is>
          <t>tlevander@fordham.edu</t>
        </is>
      </c>
      <c r="I543" s="34" t="inlineStr">
        <is>
          <t>2026-04-02</t>
        </is>
      </c>
      <c r="J543" s="34" t="n"/>
      <c r="K543" s="34" t="inlineStr">
        <is>
          <t>NO</t>
        </is>
      </c>
      <c r="L543" s="36" t="inlineStr">
        <is>
          <t>New Lead</t>
        </is>
      </c>
      <c r="M543" s="34" t="n"/>
      <c r="N543" s="34" t="n"/>
      <c r="O543" s="34" t="n"/>
      <c r="P543" s="34" t="n">
        <v>2500</v>
      </c>
      <c r="Q543" s="34" t="n">
        <v>0</v>
      </c>
      <c r="R543" s="37">
        <f>IF(J543="","",TODAY()-DATE(LEFT(J543,4)*1,MID(J543,6,2)*1,RIGHT(J543,2)*1))</f>
        <v/>
      </c>
    </row>
    <row r="544" ht="18" customHeight="1" s="31">
      <c r="A544" s="38" t="n">
        <v>542</v>
      </c>
      <c r="B544" s="38" t="inlineStr">
        <is>
          <t>Lois</t>
        </is>
      </c>
      <c r="C544" s="38" t="inlineStr">
        <is>
          <t>Luo</t>
        </is>
      </c>
      <c r="D544" s="38" t="inlineStr">
        <is>
          <t>Fordham University</t>
        </is>
      </c>
      <c r="E544" s="38" t="inlineStr">
        <is>
          <t>Philosophy</t>
        </is>
      </c>
      <c r="F544" s="42" t="inlineStr">
        <is>
          <t>Low</t>
        </is>
      </c>
      <c r="G544" s="42" t="inlineStr">
        <is>
          <t>Low</t>
        </is>
      </c>
      <c r="H544" s="38" t="inlineStr">
        <is>
          <t>jl155@fordham.edu</t>
        </is>
      </c>
      <c r="I544" s="38" t="inlineStr">
        <is>
          <t>2026-04-02</t>
        </is>
      </c>
      <c r="J544" s="38" t="n"/>
      <c r="K544" s="38" t="inlineStr">
        <is>
          <t>NO</t>
        </is>
      </c>
      <c r="L544" s="39" t="inlineStr">
        <is>
          <t>New Lead</t>
        </is>
      </c>
      <c r="M544" s="38" t="n"/>
      <c r="N544" s="38" t="n"/>
      <c r="O544" s="38" t="n"/>
      <c r="P544" s="38" t="n">
        <v>2500</v>
      </c>
      <c r="Q544" s="38" t="n">
        <v>0</v>
      </c>
      <c r="R544" s="40">
        <f>IF(J544="","",TODAY()-DATE(LEFT(J544,4)*1,MID(J544,6,2)*1,RIGHT(J544,2)*1))</f>
        <v/>
      </c>
    </row>
    <row r="545" ht="18" customHeight="1" s="31">
      <c r="A545" s="34" t="n">
        <v>543</v>
      </c>
      <c r="B545" s="34" t="inlineStr">
        <is>
          <t>Layla</t>
        </is>
      </c>
      <c r="C545" s="34" t="inlineStr">
        <is>
          <t>Mayorga</t>
        </is>
      </c>
      <c r="D545" s="34" t="inlineStr">
        <is>
          <t>Fordham University</t>
        </is>
      </c>
      <c r="E545" s="34" t="inlineStr">
        <is>
          <t>Philosophy</t>
        </is>
      </c>
      <c r="F545" s="42" t="inlineStr">
        <is>
          <t>Low</t>
        </is>
      </c>
      <c r="G545" s="42" t="inlineStr">
        <is>
          <t>Low</t>
        </is>
      </c>
      <c r="H545" s="34" t="inlineStr">
        <is>
          <t>lmayorga@fordham.edu</t>
        </is>
      </c>
      <c r="I545" s="34" t="inlineStr">
        <is>
          <t>2026-04-02</t>
        </is>
      </c>
      <c r="J545" s="34" t="n"/>
      <c r="K545" s="34" t="inlineStr">
        <is>
          <t>NO</t>
        </is>
      </c>
      <c r="L545" s="36" t="inlineStr">
        <is>
          <t>New Lead</t>
        </is>
      </c>
      <c r="M545" s="34" t="n"/>
      <c r="N545" s="34" t="n"/>
      <c r="O545" s="34" t="n"/>
      <c r="P545" s="34" t="n">
        <v>2500</v>
      </c>
      <c r="Q545" s="34" t="n">
        <v>0</v>
      </c>
      <c r="R545" s="37">
        <f>IF(J545="","",TODAY()-DATE(LEFT(J545,4)*1,MID(J545,6,2)*1,RIGHT(J545,2)*1))</f>
        <v/>
      </c>
    </row>
    <row r="546" ht="18" customHeight="1" s="31">
      <c r="A546" s="38" t="n">
        <v>544</v>
      </c>
      <c r="B546" s="38" t="inlineStr">
        <is>
          <t>Nicholas</t>
        </is>
      </c>
      <c r="C546" s="38" t="inlineStr">
        <is>
          <t>McIntosh</t>
        </is>
      </c>
      <c r="D546" s="38" t="inlineStr">
        <is>
          <t>Fordham University</t>
        </is>
      </c>
      <c r="E546" s="38" t="inlineStr">
        <is>
          <t>Philosophy</t>
        </is>
      </c>
      <c r="F546" s="42" t="inlineStr">
        <is>
          <t>Low</t>
        </is>
      </c>
      <c r="G546" s="42" t="inlineStr">
        <is>
          <t>Low</t>
        </is>
      </c>
      <c r="H546" s="38" t="inlineStr">
        <is>
          <t>nmcintosh1@fordham.edu</t>
        </is>
      </c>
      <c r="I546" s="38" t="inlineStr">
        <is>
          <t>2026-04-02</t>
        </is>
      </c>
      <c r="J546" s="38" t="n"/>
      <c r="K546" s="38" t="inlineStr">
        <is>
          <t>NO</t>
        </is>
      </c>
      <c r="L546" s="39" t="inlineStr">
        <is>
          <t>New Lead</t>
        </is>
      </c>
      <c r="M546" s="38" t="n"/>
      <c r="N546" s="38" t="n"/>
      <c r="O546" s="38" t="n"/>
      <c r="P546" s="38" t="n">
        <v>2500</v>
      </c>
      <c r="Q546" s="38" t="n">
        <v>0</v>
      </c>
      <c r="R546" s="40">
        <f>IF(J546="","",TODAY()-DATE(LEFT(J546,4)*1,MID(J546,6,2)*1,RIGHT(J546,2)*1))</f>
        <v/>
      </c>
    </row>
    <row r="547" ht="18" customHeight="1" s="31">
      <c r="A547" s="34" t="n">
        <v>545</v>
      </c>
      <c r="B547" s="34" t="inlineStr">
        <is>
          <t>Nicholas</t>
        </is>
      </c>
      <c r="C547" s="34" t="inlineStr">
        <is>
          <t>Norita</t>
        </is>
      </c>
      <c r="D547" s="34" t="inlineStr">
        <is>
          <t>Fordham University</t>
        </is>
      </c>
      <c r="E547" s="34" t="inlineStr">
        <is>
          <t>Philosophy</t>
        </is>
      </c>
      <c r="F547" s="42" t="inlineStr">
        <is>
          <t>Low</t>
        </is>
      </c>
      <c r="G547" s="42" t="inlineStr">
        <is>
          <t>Low</t>
        </is>
      </c>
      <c r="H547" s="34" t="inlineStr">
        <is>
          <t>nnorita@fordham.edu</t>
        </is>
      </c>
      <c r="I547" s="34" t="inlineStr">
        <is>
          <t>2026-04-02</t>
        </is>
      </c>
      <c r="J547" s="34" t="n"/>
      <c r="K547" s="34" t="inlineStr">
        <is>
          <t>NO</t>
        </is>
      </c>
      <c r="L547" s="36" t="inlineStr">
        <is>
          <t>New Lead</t>
        </is>
      </c>
      <c r="M547" s="34" t="n"/>
      <c r="N547" s="34" t="n"/>
      <c r="O547" s="34" t="n"/>
      <c r="P547" s="34" t="n">
        <v>2500</v>
      </c>
      <c r="Q547" s="34" t="n">
        <v>0</v>
      </c>
      <c r="R547" s="37">
        <f>IF(J547="","",TODAY()-DATE(LEFT(J547,4)*1,MID(J547,6,2)*1,RIGHT(J547,2)*1))</f>
        <v/>
      </c>
    </row>
    <row r="548" ht="18" customHeight="1" s="31">
      <c r="A548" s="38" t="n">
        <v>546</v>
      </c>
      <c r="B548" s="38" t="inlineStr">
        <is>
          <t>Kristine</t>
        </is>
      </c>
      <c r="C548" s="38" t="inlineStr">
        <is>
          <t>Petersone</t>
        </is>
      </c>
      <c r="D548" s="38" t="inlineStr">
        <is>
          <t>Fordham University</t>
        </is>
      </c>
      <c r="E548" s="38" t="inlineStr">
        <is>
          <t>Philosophy</t>
        </is>
      </c>
      <c r="F548" s="42" t="inlineStr">
        <is>
          <t>Low</t>
        </is>
      </c>
      <c r="G548" s="42" t="inlineStr">
        <is>
          <t>Low</t>
        </is>
      </c>
      <c r="H548" s="38" t="inlineStr">
        <is>
          <t>kp55@fordham.edu</t>
        </is>
      </c>
      <c r="I548" s="38" t="inlineStr">
        <is>
          <t>2026-04-02</t>
        </is>
      </c>
      <c r="J548" s="38" t="n"/>
      <c r="K548" s="38" t="inlineStr">
        <is>
          <t>NO</t>
        </is>
      </c>
      <c r="L548" s="39" t="inlineStr">
        <is>
          <t>New Lead</t>
        </is>
      </c>
      <c r="M548" s="38" t="n"/>
      <c r="N548" s="38" t="n"/>
      <c r="O548" s="38" t="n"/>
      <c r="P548" s="38" t="n">
        <v>2500</v>
      </c>
      <c r="Q548" s="38" t="n">
        <v>0</v>
      </c>
      <c r="R548" s="40">
        <f>IF(J548="","",TODAY()-DATE(LEFT(J548,4)*1,MID(J548,6,2)*1,RIGHT(J548,2)*1))</f>
        <v/>
      </c>
    </row>
    <row r="549" ht="18" customHeight="1" s="31">
      <c r="A549" s="34" t="n">
        <v>547</v>
      </c>
      <c r="B549" s="34" t="inlineStr">
        <is>
          <t>Sanjana</t>
        </is>
      </c>
      <c r="C549" s="34" t="inlineStr">
        <is>
          <t>Rajagopal</t>
        </is>
      </c>
      <c r="D549" s="34" t="inlineStr">
        <is>
          <t>Fordham University</t>
        </is>
      </c>
      <c r="E549" s="34" t="inlineStr">
        <is>
          <t>Philosophy</t>
        </is>
      </c>
      <c r="F549" s="42" t="inlineStr">
        <is>
          <t>Low</t>
        </is>
      </c>
      <c r="G549" s="42" t="inlineStr">
        <is>
          <t>Low</t>
        </is>
      </c>
      <c r="H549" s="34" t="inlineStr">
        <is>
          <t>srajagopal@fordham.edu</t>
        </is>
      </c>
      <c r="I549" s="34" t="inlineStr">
        <is>
          <t>2026-04-02</t>
        </is>
      </c>
      <c r="J549" s="34" t="n"/>
      <c r="K549" s="34" t="inlineStr">
        <is>
          <t>NO</t>
        </is>
      </c>
      <c r="L549" s="36" t="inlineStr">
        <is>
          <t>New Lead</t>
        </is>
      </c>
      <c r="M549" s="34" t="n"/>
      <c r="N549" s="34" t="n"/>
      <c r="O549" s="34" t="n"/>
      <c r="P549" s="34" t="n">
        <v>2500</v>
      </c>
      <c r="Q549" s="34" t="n">
        <v>0</v>
      </c>
      <c r="R549" s="37">
        <f>IF(J549="","",TODAY()-DATE(LEFT(J549,4)*1,MID(J549,6,2)*1,RIGHT(J549,2)*1))</f>
        <v/>
      </c>
    </row>
    <row r="550" ht="18" customHeight="1" s="31">
      <c r="A550" s="38" t="n">
        <v>548</v>
      </c>
      <c r="B550" s="38" t="inlineStr">
        <is>
          <t>Alex</t>
        </is>
      </c>
      <c r="C550" s="38" t="inlineStr">
        <is>
          <t>Riedel</t>
        </is>
      </c>
      <c r="D550" s="38" t="inlineStr">
        <is>
          <t>Fordham University</t>
        </is>
      </c>
      <c r="E550" s="38" t="inlineStr">
        <is>
          <t>Philosophy</t>
        </is>
      </c>
      <c r="F550" s="42" t="inlineStr">
        <is>
          <t>Low</t>
        </is>
      </c>
      <c r="G550" s="42" t="inlineStr">
        <is>
          <t>Low</t>
        </is>
      </c>
      <c r="H550" s="38" t="inlineStr">
        <is>
          <t>ariedel1@fordham.edu</t>
        </is>
      </c>
      <c r="I550" s="38" t="inlineStr">
        <is>
          <t>2026-04-02</t>
        </is>
      </c>
      <c r="J550" s="38" t="n"/>
      <c r="K550" s="38" t="inlineStr">
        <is>
          <t>NO</t>
        </is>
      </c>
      <c r="L550" s="39" t="inlineStr">
        <is>
          <t>New Lead</t>
        </is>
      </c>
      <c r="M550" s="38" t="n"/>
      <c r="N550" s="38" t="n"/>
      <c r="O550" s="38" t="n"/>
      <c r="P550" s="38" t="n">
        <v>2500</v>
      </c>
      <c r="Q550" s="38" t="n">
        <v>0</v>
      </c>
      <c r="R550" s="40">
        <f>IF(J550="","",TODAY()-DATE(LEFT(J550,4)*1,MID(J550,6,2)*1,RIGHT(J550,2)*1))</f>
        <v/>
      </c>
    </row>
    <row r="551" ht="18" customHeight="1" s="31">
      <c r="A551" s="34" t="n">
        <v>549</v>
      </c>
      <c r="B551" s="34" t="inlineStr">
        <is>
          <t>Jason</t>
        </is>
      </c>
      <c r="C551" s="34" t="inlineStr">
        <is>
          <t>Rucker</t>
        </is>
      </c>
      <c r="D551" s="34" t="inlineStr">
        <is>
          <t>Fordham University</t>
        </is>
      </c>
      <c r="E551" s="34" t="inlineStr">
        <is>
          <t>Philosophy</t>
        </is>
      </c>
      <c r="F551" s="42" t="inlineStr">
        <is>
          <t>Low</t>
        </is>
      </c>
      <c r="G551" s="42" t="inlineStr">
        <is>
          <t>Low</t>
        </is>
      </c>
      <c r="H551" s="34" t="inlineStr">
        <is>
          <t>jdr9@fordham.edu</t>
        </is>
      </c>
      <c r="I551" s="34" t="inlineStr">
        <is>
          <t>2026-04-02</t>
        </is>
      </c>
      <c r="J551" s="34" t="n"/>
      <c r="K551" s="34" t="inlineStr">
        <is>
          <t>NO</t>
        </is>
      </c>
      <c r="L551" s="36" t="inlineStr">
        <is>
          <t>New Lead</t>
        </is>
      </c>
      <c r="M551" s="34" t="n"/>
      <c r="N551" s="34" t="n"/>
      <c r="O551" s="34" t="n"/>
      <c r="P551" s="34" t="n">
        <v>2500</v>
      </c>
      <c r="Q551" s="34" t="n">
        <v>0</v>
      </c>
      <c r="R551" s="37">
        <f>IF(J551="","",TODAY()-DATE(LEFT(J551,4)*1,MID(J551,6,2)*1,RIGHT(J551,2)*1))</f>
        <v/>
      </c>
    </row>
    <row r="552" ht="18" customHeight="1" s="31">
      <c r="A552" s="38" t="n">
        <v>550</v>
      </c>
      <c r="B552" s="38" t="inlineStr">
        <is>
          <t>Marcus</t>
        </is>
      </c>
      <c r="C552" s="38" t="inlineStr">
        <is>
          <t>Schweiger</t>
        </is>
      </c>
      <c r="D552" s="38" t="inlineStr">
        <is>
          <t>Fordham University</t>
        </is>
      </c>
      <c r="E552" s="38" t="inlineStr">
        <is>
          <t>Philosophy</t>
        </is>
      </c>
      <c r="F552" s="42" t="inlineStr">
        <is>
          <t>Low</t>
        </is>
      </c>
      <c r="G552" s="42" t="inlineStr">
        <is>
          <t>Low</t>
        </is>
      </c>
      <c r="H552" s="38" t="inlineStr">
        <is>
          <t>mschweiger@fordham.edu</t>
        </is>
      </c>
      <c r="I552" s="38" t="inlineStr">
        <is>
          <t>2026-04-02</t>
        </is>
      </c>
      <c r="J552" s="38" t="n"/>
      <c r="K552" s="38" t="inlineStr">
        <is>
          <t>NO</t>
        </is>
      </c>
      <c r="L552" s="39" t="inlineStr">
        <is>
          <t>New Lead</t>
        </is>
      </c>
      <c r="M552" s="38" t="n"/>
      <c r="N552" s="38" t="n"/>
      <c r="O552" s="38" t="n"/>
      <c r="P552" s="38" t="n">
        <v>2500</v>
      </c>
      <c r="Q552" s="38" t="n">
        <v>0</v>
      </c>
      <c r="R552" s="40">
        <f>IF(J552="","",TODAY()-DATE(LEFT(J552,4)*1,MID(J552,6,2)*1,RIGHT(J552,2)*1))</f>
        <v/>
      </c>
    </row>
    <row r="553" ht="18" customHeight="1" s="31">
      <c r="A553" s="34" t="n">
        <v>551</v>
      </c>
      <c r="B553" s="34" t="inlineStr">
        <is>
          <t>Yanai</t>
        </is>
      </c>
      <c r="C553" s="34" t="inlineStr">
        <is>
          <t>Sened</t>
        </is>
      </c>
      <c r="D553" s="34" t="inlineStr">
        <is>
          <t>Fordham University</t>
        </is>
      </c>
      <c r="E553" s="34" t="inlineStr">
        <is>
          <t>Philosophy</t>
        </is>
      </c>
      <c r="F553" s="42" t="inlineStr">
        <is>
          <t>Low</t>
        </is>
      </c>
      <c r="G553" s="42" t="inlineStr">
        <is>
          <t>Low</t>
        </is>
      </c>
      <c r="H553" s="34" t="inlineStr">
        <is>
          <t>ysened@fordham.edu</t>
        </is>
      </c>
      <c r="I553" s="34" t="inlineStr">
        <is>
          <t>2026-04-02</t>
        </is>
      </c>
      <c r="J553" s="34" t="n"/>
      <c r="K553" s="34" t="inlineStr">
        <is>
          <t>NO</t>
        </is>
      </c>
      <c r="L553" s="36" t="inlineStr">
        <is>
          <t>New Lead</t>
        </is>
      </c>
      <c r="M553" s="34" t="n"/>
      <c r="N553" s="34" t="n"/>
      <c r="O553" s="34" t="n"/>
      <c r="P553" s="34" t="n">
        <v>2500</v>
      </c>
      <c r="Q553" s="34" t="n">
        <v>0</v>
      </c>
      <c r="R553" s="37">
        <f>IF(J553="","",TODAY()-DATE(LEFT(J553,4)*1,MID(J553,6,2)*1,RIGHT(J553,2)*1))</f>
        <v/>
      </c>
    </row>
    <row r="554" ht="18" customHeight="1" s="31">
      <c r="A554" s="38" t="n">
        <v>552</v>
      </c>
      <c r="B554" s="38" t="inlineStr">
        <is>
          <t>Kara</t>
        </is>
      </c>
      <c r="C554" s="38" t="inlineStr">
        <is>
          <t>Slagell</t>
        </is>
      </c>
      <c r="D554" s="38" t="inlineStr">
        <is>
          <t>Fordham University</t>
        </is>
      </c>
      <c r="E554" s="38" t="inlineStr">
        <is>
          <t>Philosophy</t>
        </is>
      </c>
      <c r="F554" s="42" t="inlineStr">
        <is>
          <t>Low</t>
        </is>
      </c>
      <c r="G554" s="42" t="inlineStr">
        <is>
          <t>Low</t>
        </is>
      </c>
      <c r="H554" s="38" t="inlineStr">
        <is>
          <t>kslagell1@fordham.edu</t>
        </is>
      </c>
      <c r="I554" s="38" t="inlineStr">
        <is>
          <t>2026-04-02</t>
        </is>
      </c>
      <c r="J554" s="38" t="n"/>
      <c r="K554" s="38" t="inlineStr">
        <is>
          <t>NO</t>
        </is>
      </c>
      <c r="L554" s="39" t="inlineStr">
        <is>
          <t>New Lead</t>
        </is>
      </c>
      <c r="M554" s="38" t="n"/>
      <c r="N554" s="38" t="n"/>
      <c r="O554" s="38" t="n"/>
      <c r="P554" s="38" t="n">
        <v>2500</v>
      </c>
      <c r="Q554" s="38" t="n">
        <v>0</v>
      </c>
      <c r="R554" s="40">
        <f>IF(J554="","",TODAY()-DATE(LEFT(J554,4)*1,MID(J554,6,2)*1,RIGHT(J554,2)*1))</f>
        <v/>
      </c>
    </row>
    <row r="555" ht="18" customHeight="1" s="31">
      <c r="A555" s="34" t="n">
        <v>553</v>
      </c>
      <c r="B555" s="34" t="inlineStr">
        <is>
          <t>Theoren</t>
        </is>
      </c>
      <c r="C555" s="34" t="inlineStr">
        <is>
          <t>Tolsma</t>
        </is>
      </c>
      <c r="D555" s="34" t="inlineStr">
        <is>
          <t>Fordham University</t>
        </is>
      </c>
      <c r="E555" s="34" t="inlineStr">
        <is>
          <t>Philosophy</t>
        </is>
      </c>
      <c r="F555" s="42" t="inlineStr">
        <is>
          <t>Low</t>
        </is>
      </c>
      <c r="G555" s="42" t="inlineStr">
        <is>
          <t>Low</t>
        </is>
      </c>
      <c r="H555" s="34" t="inlineStr">
        <is>
          <t>rtolsma@fordham.edu</t>
        </is>
      </c>
      <c r="I555" s="34" t="inlineStr">
        <is>
          <t>2026-04-02</t>
        </is>
      </c>
      <c r="J555" s="34" t="n"/>
      <c r="K555" s="34" t="inlineStr">
        <is>
          <t>NO</t>
        </is>
      </c>
      <c r="L555" s="36" t="inlineStr">
        <is>
          <t>New Lead</t>
        </is>
      </c>
      <c r="M555" s="34" t="n"/>
      <c r="N555" s="34" t="n"/>
      <c r="O555" s="34" t="n"/>
      <c r="P555" s="34" t="n">
        <v>2500</v>
      </c>
      <c r="Q555" s="34" t="n">
        <v>0</v>
      </c>
      <c r="R555" s="37">
        <f>IF(J555="","",TODAY()-DATE(LEFT(J555,4)*1,MID(J555,6,2)*1,RIGHT(J555,2)*1))</f>
        <v/>
      </c>
    </row>
    <row r="556" ht="18" customHeight="1" s="31">
      <c r="A556" s="38" t="n">
        <v>554</v>
      </c>
      <c r="B556" s="38" t="inlineStr">
        <is>
          <t>Kelby</t>
        </is>
      </c>
      <c r="C556" s="38" t="inlineStr">
        <is>
          <t>Uebelhor</t>
        </is>
      </c>
      <c r="D556" s="38" t="inlineStr">
        <is>
          <t>Fordham University</t>
        </is>
      </c>
      <c r="E556" s="38" t="inlineStr">
        <is>
          <t>Philosophy</t>
        </is>
      </c>
      <c r="F556" s="42" t="inlineStr">
        <is>
          <t>Low</t>
        </is>
      </c>
      <c r="G556" s="42" t="inlineStr">
        <is>
          <t>Low</t>
        </is>
      </c>
      <c r="H556" s="38" t="inlineStr">
        <is>
          <t>kju2@fordham.edu</t>
        </is>
      </c>
      <c r="I556" s="38" t="inlineStr">
        <is>
          <t>2026-04-02</t>
        </is>
      </c>
      <c r="J556" s="38" t="n"/>
      <c r="K556" s="38" t="inlineStr">
        <is>
          <t>NO</t>
        </is>
      </c>
      <c r="L556" s="39" t="inlineStr">
        <is>
          <t>New Lead</t>
        </is>
      </c>
      <c r="M556" s="38" t="n"/>
      <c r="N556" s="38" t="n"/>
      <c r="O556" s="38" t="n"/>
      <c r="P556" s="38" t="n">
        <v>2500</v>
      </c>
      <c r="Q556" s="38" t="n">
        <v>0</v>
      </c>
      <c r="R556" s="40">
        <f>IF(J556="","",TODAY()-DATE(LEFT(J556,4)*1,MID(J556,6,2)*1,RIGHT(J556,2)*1))</f>
        <v/>
      </c>
    </row>
    <row r="557" ht="18" customHeight="1" s="31">
      <c r="A557" s="34" t="n">
        <v>555</v>
      </c>
      <c r="B557" s="34" t="inlineStr">
        <is>
          <t>Megan</t>
        </is>
      </c>
      <c r="C557" s="34" t="inlineStr">
        <is>
          <t>Walsh</t>
        </is>
      </c>
      <c r="D557" s="34" t="inlineStr">
        <is>
          <t>Fordham University</t>
        </is>
      </c>
      <c r="E557" s="34" t="inlineStr">
        <is>
          <t>Philosophy</t>
        </is>
      </c>
      <c r="F557" s="42" t="inlineStr">
        <is>
          <t>Low</t>
        </is>
      </c>
      <c r="G557" s="42" t="inlineStr">
        <is>
          <t>Low</t>
        </is>
      </c>
      <c r="H557" s="34" t="inlineStr">
        <is>
          <t>mwalsh154@fordham.edu</t>
        </is>
      </c>
      <c r="I557" s="34" t="inlineStr">
        <is>
          <t>2026-04-02</t>
        </is>
      </c>
      <c r="J557" s="34" t="n"/>
      <c r="K557" s="34" t="inlineStr">
        <is>
          <t>NO</t>
        </is>
      </c>
      <c r="L557" s="36" t="inlineStr">
        <is>
          <t>New Lead</t>
        </is>
      </c>
      <c r="M557" s="34" t="n"/>
      <c r="N557" s="34" t="n"/>
      <c r="O557" s="34" t="n"/>
      <c r="P557" s="34" t="n">
        <v>2500</v>
      </c>
      <c r="Q557" s="34" t="n">
        <v>0</v>
      </c>
      <c r="R557" s="37">
        <f>IF(J557="","",TODAY()-DATE(LEFT(J557,4)*1,MID(J557,6,2)*1,RIGHT(J557,2)*1))</f>
        <v/>
      </c>
    </row>
    <row r="558" ht="18" customHeight="1" s="31">
      <c r="A558" s="38" t="n">
        <v>556</v>
      </c>
      <c r="B558" s="38" t="inlineStr">
        <is>
          <t>Anya</t>
        </is>
      </c>
      <c r="C558" s="38" t="inlineStr">
        <is>
          <t>Wang</t>
        </is>
      </c>
      <c r="D558" s="38" t="inlineStr">
        <is>
          <t>Fordham University</t>
        </is>
      </c>
      <c r="E558" s="38" t="inlineStr">
        <is>
          <t>Philosophy</t>
        </is>
      </c>
      <c r="F558" s="42" t="inlineStr">
        <is>
          <t>Low</t>
        </is>
      </c>
      <c r="G558" s="42" t="inlineStr">
        <is>
          <t>Low</t>
        </is>
      </c>
      <c r="H558" s="38" t="inlineStr">
        <is>
          <t>awang64@fordham.edu</t>
        </is>
      </c>
      <c r="I558" s="38" t="inlineStr">
        <is>
          <t>2026-04-02</t>
        </is>
      </c>
      <c r="J558" s="38" t="n"/>
      <c r="K558" s="38" t="inlineStr">
        <is>
          <t>NO</t>
        </is>
      </c>
      <c r="L558" s="39" t="inlineStr">
        <is>
          <t>New Lead</t>
        </is>
      </c>
      <c r="M558" s="38" t="n"/>
      <c r="N558" s="38" t="n"/>
      <c r="O558" s="38" t="n"/>
      <c r="P558" s="38" t="n">
        <v>2500</v>
      </c>
      <c r="Q558" s="38" t="n">
        <v>0</v>
      </c>
      <c r="R558" s="40">
        <f>IF(J558="","",TODAY()-DATE(LEFT(J558,4)*1,MID(J558,6,2)*1,RIGHT(J558,2)*1))</f>
        <v/>
      </c>
    </row>
    <row r="559" ht="18" customHeight="1" s="31">
      <c r="A559" s="34" t="n">
        <v>557</v>
      </c>
      <c r="B559" s="34" t="inlineStr">
        <is>
          <t>Bryan</t>
        </is>
      </c>
      <c r="C559" s="34" t="inlineStr">
        <is>
          <t>Williams</t>
        </is>
      </c>
      <c r="D559" s="34" t="inlineStr">
        <is>
          <t>Fordham University</t>
        </is>
      </c>
      <c r="E559" s="34" t="inlineStr">
        <is>
          <t>Philosophy</t>
        </is>
      </c>
      <c r="F559" s="42" t="inlineStr">
        <is>
          <t>Low</t>
        </is>
      </c>
      <c r="G559" s="42" t="inlineStr">
        <is>
          <t>Low</t>
        </is>
      </c>
      <c r="H559" s="34" t="inlineStr">
        <is>
          <t>bwilliams111@fordham.edu</t>
        </is>
      </c>
      <c r="I559" s="34" t="inlineStr">
        <is>
          <t>2026-04-02</t>
        </is>
      </c>
      <c r="J559" s="34" t="n"/>
      <c r="K559" s="34" t="inlineStr">
        <is>
          <t>NO</t>
        </is>
      </c>
      <c r="L559" s="36" t="inlineStr">
        <is>
          <t>New Lead</t>
        </is>
      </c>
      <c r="M559" s="34" t="n"/>
      <c r="N559" s="34" t="n"/>
      <c r="O559" s="34" t="n"/>
      <c r="P559" s="34" t="n">
        <v>2500</v>
      </c>
      <c r="Q559" s="34" t="n">
        <v>0</v>
      </c>
      <c r="R559" s="37">
        <f>IF(J559="","",TODAY()-DATE(LEFT(J559,4)*1,MID(J559,6,2)*1,RIGHT(J559,2)*1))</f>
        <v/>
      </c>
    </row>
    <row r="560" ht="18" customHeight="1" s="31">
      <c r="A560" s="38" t="n">
        <v>558</v>
      </c>
      <c r="B560" s="38" t="inlineStr">
        <is>
          <t>August</t>
        </is>
      </c>
      <c r="C560" s="38" t="inlineStr">
        <is>
          <t>Yu</t>
        </is>
      </c>
      <c r="D560" s="38" t="inlineStr">
        <is>
          <t>Fordham University</t>
        </is>
      </c>
      <c r="E560" s="38" t="inlineStr">
        <is>
          <t>Philosophy</t>
        </is>
      </c>
      <c r="F560" s="42" t="inlineStr">
        <is>
          <t>Low</t>
        </is>
      </c>
      <c r="G560" s="42" t="inlineStr">
        <is>
          <t>Low</t>
        </is>
      </c>
      <c r="H560" s="38" t="inlineStr">
        <is>
          <t>lyu64@fordham.edu</t>
        </is>
      </c>
      <c r="I560" s="38" t="inlineStr">
        <is>
          <t>2026-04-02</t>
        </is>
      </c>
      <c r="J560" s="38" t="n"/>
      <c r="K560" s="38" t="inlineStr">
        <is>
          <t>NO</t>
        </is>
      </c>
      <c r="L560" s="39" t="inlineStr">
        <is>
          <t>New Lead</t>
        </is>
      </c>
      <c r="M560" s="38" t="n"/>
      <c r="N560" s="38" t="n"/>
      <c r="O560" s="38" t="n"/>
      <c r="P560" s="38" t="n">
        <v>2500</v>
      </c>
      <c r="Q560" s="38" t="n">
        <v>0</v>
      </c>
      <c r="R560" s="40">
        <f>IF(J560="","",TODAY()-DATE(LEFT(J560,4)*1,MID(J560,6,2)*1,RIGHT(J560,2)*1))</f>
        <v/>
      </c>
    </row>
    <row r="561" ht="18" customHeight="1" s="31">
      <c r="A561" s="34" t="n">
        <v>559</v>
      </c>
      <c r="B561" s="34" t="inlineStr">
        <is>
          <t>A</t>
        </is>
      </c>
      <c r="C561" s="34" t="inlineStr">
        <is>
          <t>Plus Air Services</t>
        </is>
      </c>
      <c r="D561" s="34" t="n"/>
      <c r="E561" s="34" t="n"/>
      <c r="F561" s="34" t="inlineStr">
        <is>
          <t>Unknown</t>
        </is>
      </c>
      <c r="G561" s="41" t="inlineStr">
        <is>
          <t>Medium</t>
        </is>
      </c>
      <c r="H561" s="34" t="inlineStr">
        <is>
          <t>ductworkcleaningservices@gmail.com</t>
        </is>
      </c>
      <c r="I561" s="34" t="inlineStr">
        <is>
          <t>2026-04-02</t>
        </is>
      </c>
      <c r="J561" s="34" t="n"/>
      <c r="K561" s="34" t="inlineStr">
        <is>
          <t>NO</t>
        </is>
      </c>
      <c r="L561" s="36" t="inlineStr">
        <is>
          <t>New Lead</t>
        </is>
      </c>
      <c r="M561" s="34" t="n"/>
      <c r="N561" s="34" t="n"/>
      <c r="O561" s="34" t="n"/>
      <c r="P561" s="34" t="n">
        <v>2500</v>
      </c>
      <c r="Q561" s="34" t="n">
        <v>0</v>
      </c>
      <c r="R561" s="37">
        <f>IF(J561="","",TODAY()-DATE(LEFT(J561,4)*1,MID(J561,6,2)*1,RIGHT(J561,2)*1))</f>
        <v/>
      </c>
    </row>
    <row r="562" ht="15" customHeight="1" s="31">
      <c r="A562" s="30" t="n">
        <v>560</v>
      </c>
      <c r="B562" s="30" t="inlineStr">
        <is>
          <t>Ya-Li</t>
        </is>
      </c>
      <c r="C562" s="30" t="inlineStr">
        <is>
          <t>Yang</t>
        </is>
      </c>
      <c r="D562" s="30" t="inlineStr">
        <is>
          <t>Virginia Commonwealth University</t>
        </is>
      </c>
      <c r="E562" s="30" t="inlineStr">
        <is>
          <t>Social Work PhD</t>
        </is>
      </c>
      <c r="F562" s="30" t="inlineStr">
        <is>
          <t>High</t>
        </is>
      </c>
      <c r="G562" s="30" t="inlineStr">
        <is>
          <t>High</t>
        </is>
      </c>
      <c r="H562" s="30" t="inlineStr">
        <is>
          <t>yangy11@vcu.edu</t>
        </is>
      </c>
      <c r="I562" s="30" t="inlineStr">
        <is>
          <t>2026-04-03</t>
        </is>
      </c>
      <c r="K562" s="30" t="inlineStr">
        <is>
          <t>NO</t>
        </is>
      </c>
      <c r="L562" s="30" t="inlineStr">
        <is>
          <t>New Lead</t>
        </is>
      </c>
      <c r="P562" s="30" t="n">
        <v>2500</v>
      </c>
      <c r="Q562" s="30" t="n">
        <v>0</v>
      </c>
      <c r="R562" s="30">
        <f>IF(J562="","",TODAY()-DATE(LEFT(J562,4)*1,MID(J562,6,2)*1,RIGHT(J562,2)*1))</f>
        <v/>
      </c>
      <c r="S562" s="30" t="inlineStr">
        <is>
          <t>University Website</t>
        </is>
      </c>
    </row>
    <row r="563" ht="15" customHeight="1" s="31">
      <c r="A563" s="30" t="n">
        <v>561</v>
      </c>
      <c r="B563" s="30" t="inlineStr">
        <is>
          <t>Jeff</t>
        </is>
      </c>
      <c r="C563" s="30" t="inlineStr">
        <is>
          <t>Ciak</t>
        </is>
      </c>
      <c r="D563" s="30" t="inlineStr">
        <is>
          <t>Virginia Commonwealth University</t>
        </is>
      </c>
      <c r="E563" s="30" t="inlineStr">
        <is>
          <t>Social Work PhD</t>
        </is>
      </c>
      <c r="F563" s="30" t="inlineStr">
        <is>
          <t>High</t>
        </is>
      </c>
      <c r="G563" s="30" t="inlineStr">
        <is>
          <t>High</t>
        </is>
      </c>
      <c r="H563" s="30" t="inlineStr">
        <is>
          <t>ciakj@vcu.edu</t>
        </is>
      </c>
      <c r="I563" s="30" t="inlineStr">
        <is>
          <t>2026-04-03</t>
        </is>
      </c>
      <c r="K563" s="30" t="inlineStr">
        <is>
          <t>NO</t>
        </is>
      </c>
      <c r="L563" s="30" t="inlineStr">
        <is>
          <t>New Lead</t>
        </is>
      </c>
      <c r="P563" s="30" t="n">
        <v>2500</v>
      </c>
      <c r="Q563" s="30" t="n">
        <v>0</v>
      </c>
      <c r="R563" s="30">
        <f>IF(J563="","",TODAY()-DATE(LEFT(J563,4)*1,MID(J563,6,2)*1,RIGHT(J563,2)*1))</f>
        <v/>
      </c>
      <c r="S563" s="30" t="inlineStr">
        <is>
          <t>University Website</t>
        </is>
      </c>
    </row>
    <row r="564" ht="15" customHeight="1" s="31">
      <c r="A564" s="30" t="n">
        <v>562</v>
      </c>
      <c r="B564" s="30" t="inlineStr">
        <is>
          <t>Katie</t>
        </is>
      </c>
      <c r="C564" s="30" t="inlineStr">
        <is>
          <t>Kim</t>
        </is>
      </c>
      <c r="D564" s="30" t="inlineStr">
        <is>
          <t>Virginia Commonwealth University</t>
        </is>
      </c>
      <c r="E564" s="30" t="inlineStr">
        <is>
          <t>Social Work PhD</t>
        </is>
      </c>
      <c r="F564" s="30" t="inlineStr">
        <is>
          <t>High</t>
        </is>
      </c>
      <c r="G564" s="30" t="inlineStr">
        <is>
          <t>High</t>
        </is>
      </c>
      <c r="H564" s="30" t="inlineStr">
        <is>
          <t>kimk15@vcu.edu</t>
        </is>
      </c>
      <c r="I564" s="30" t="inlineStr">
        <is>
          <t>2026-04-03</t>
        </is>
      </c>
      <c r="K564" s="30" t="inlineStr">
        <is>
          <t>NO</t>
        </is>
      </c>
      <c r="L564" s="30" t="inlineStr">
        <is>
          <t>New Lead</t>
        </is>
      </c>
      <c r="P564" s="30" t="n">
        <v>2500</v>
      </c>
      <c r="Q564" s="30" t="n">
        <v>0</v>
      </c>
      <c r="R564" s="30">
        <f>IF(J564="","",TODAY()-DATE(LEFT(J564,4)*1,MID(J564,6,2)*1,RIGHT(J564,2)*1))</f>
        <v/>
      </c>
      <c r="S564" s="30" t="inlineStr">
        <is>
          <t>University Website</t>
        </is>
      </c>
    </row>
    <row r="565" ht="15" customHeight="1" s="31">
      <c r="A565" s="30" t="n">
        <v>563</v>
      </c>
      <c r="B565" s="30" t="inlineStr">
        <is>
          <t>Reem</t>
        </is>
      </c>
      <c r="C565" s="30" t="inlineStr">
        <is>
          <t>Shawkat</t>
        </is>
      </c>
      <c r="D565" s="30" t="inlineStr">
        <is>
          <t>Virginia Commonwealth University</t>
        </is>
      </c>
      <c r="E565" s="30" t="inlineStr">
        <is>
          <t>Social Work PhD</t>
        </is>
      </c>
      <c r="F565" s="30" t="inlineStr">
        <is>
          <t>High</t>
        </is>
      </c>
      <c r="G565" s="30" t="inlineStr">
        <is>
          <t>High</t>
        </is>
      </c>
      <c r="H565" s="30" t="inlineStr">
        <is>
          <t>shawkatra@vcu.edu</t>
        </is>
      </c>
      <c r="I565" s="30" t="inlineStr">
        <is>
          <t>2026-04-03</t>
        </is>
      </c>
      <c r="K565" s="30" t="inlineStr">
        <is>
          <t>NO</t>
        </is>
      </c>
      <c r="L565" s="30" t="inlineStr">
        <is>
          <t>New Lead</t>
        </is>
      </c>
      <c r="P565" s="30" t="n">
        <v>2500</v>
      </c>
      <c r="Q565" s="30" t="n">
        <v>0</v>
      </c>
      <c r="R565" s="30">
        <f>IF(J565="","",TODAY()-DATE(LEFT(J565,4)*1,MID(J565,6,2)*1,RIGHT(J565,2)*1))</f>
        <v/>
      </c>
      <c r="S565" s="30" t="inlineStr">
        <is>
          <t>University Website</t>
        </is>
      </c>
    </row>
    <row r="566" ht="15" customHeight="1" s="31">
      <c r="A566" s="30" t="n">
        <v>564</v>
      </c>
      <c r="B566" s="30" t="inlineStr">
        <is>
          <t>Samuel</t>
        </is>
      </c>
      <c r="C566" s="30" t="inlineStr">
        <is>
          <t>Ochinang</t>
        </is>
      </c>
      <c r="D566" s="30" t="inlineStr">
        <is>
          <t>Virginia Commonwealth University</t>
        </is>
      </c>
      <c r="E566" s="30" t="inlineStr">
        <is>
          <t>Social Work PhD</t>
        </is>
      </c>
      <c r="F566" s="30" t="inlineStr">
        <is>
          <t>High</t>
        </is>
      </c>
      <c r="G566" s="30" t="inlineStr">
        <is>
          <t>High</t>
        </is>
      </c>
      <c r="H566" s="30" t="inlineStr">
        <is>
          <t>ochinangsa@vcu.edu</t>
        </is>
      </c>
      <c r="I566" s="30" t="inlineStr">
        <is>
          <t>2026-04-03</t>
        </is>
      </c>
      <c r="K566" s="30" t="inlineStr">
        <is>
          <t>NO</t>
        </is>
      </c>
      <c r="L566" s="30" t="inlineStr">
        <is>
          <t>New Lead</t>
        </is>
      </c>
      <c r="O566" s="30" t="inlineStr">
        <is>
          <t>Constructed email</t>
        </is>
      </c>
      <c r="P566" s="30" t="n">
        <v>2500</v>
      </c>
      <c r="Q566" s="30" t="n">
        <v>0</v>
      </c>
      <c r="R566" s="30">
        <f>IF(J566="","",TODAY()-DATE(LEFT(J566,4)*1,MID(J566,6,2)*1,RIGHT(J566,2)*1))</f>
        <v/>
      </c>
      <c r="S566" s="30" t="inlineStr">
        <is>
          <t>University Website</t>
        </is>
      </c>
    </row>
    <row r="567" ht="15" customHeight="1" s="31">
      <c r="A567" s="30" t="n">
        <v>565</v>
      </c>
      <c r="B567" s="30" t="inlineStr">
        <is>
          <t>Rayelle</t>
        </is>
      </c>
      <c r="C567" s="30" t="inlineStr">
        <is>
          <t>Ross</t>
        </is>
      </c>
      <c r="D567" s="30" t="inlineStr">
        <is>
          <t>Virginia Commonwealth University</t>
        </is>
      </c>
      <c r="E567" s="30" t="inlineStr">
        <is>
          <t>Social Work PhD</t>
        </is>
      </c>
      <c r="F567" s="30" t="inlineStr">
        <is>
          <t>High</t>
        </is>
      </c>
      <c r="G567" s="30" t="inlineStr">
        <is>
          <t>High</t>
        </is>
      </c>
      <c r="H567" s="30" t="inlineStr">
        <is>
          <t>rossra@vcu.edu</t>
        </is>
      </c>
      <c r="I567" s="30" t="inlineStr">
        <is>
          <t>2026-04-03</t>
        </is>
      </c>
      <c r="K567" s="30" t="inlineStr">
        <is>
          <t>NO</t>
        </is>
      </c>
      <c r="L567" s="30" t="inlineStr">
        <is>
          <t>New Lead</t>
        </is>
      </c>
      <c r="O567" s="30" t="inlineStr">
        <is>
          <t>Constructed email</t>
        </is>
      </c>
      <c r="P567" s="30" t="n">
        <v>2500</v>
      </c>
      <c r="Q567" s="30" t="n">
        <v>0</v>
      </c>
      <c r="R567" s="30">
        <f>IF(J567="","",TODAY()-DATE(LEFT(J567,4)*1,MID(J567,6,2)*1,RIGHT(J567,2)*1))</f>
        <v/>
      </c>
      <c r="S567" s="30" t="inlineStr">
        <is>
          <t>University Website</t>
        </is>
      </c>
    </row>
    <row r="568" ht="15" customHeight="1" s="31">
      <c r="A568" s="30" t="n">
        <v>566</v>
      </c>
      <c r="B568" s="30" t="inlineStr">
        <is>
          <t>Kade</t>
        </is>
      </c>
      <c r="C568" s="30" t="inlineStr">
        <is>
          <t>Goldin</t>
        </is>
      </c>
      <c r="D568" s="30" t="inlineStr">
        <is>
          <t>Virginia Commonwealth University</t>
        </is>
      </c>
      <c r="E568" s="30" t="inlineStr">
        <is>
          <t>Social Work PhD</t>
        </is>
      </c>
      <c r="F568" s="30" t="inlineStr">
        <is>
          <t>High</t>
        </is>
      </c>
      <c r="G568" s="30" t="inlineStr">
        <is>
          <t>High</t>
        </is>
      </c>
      <c r="H568" s="30" t="inlineStr">
        <is>
          <t>goldink@vcu.edu</t>
        </is>
      </c>
      <c r="I568" s="30" t="inlineStr">
        <is>
          <t>2026-04-03</t>
        </is>
      </c>
      <c r="K568" s="30" t="inlineStr">
        <is>
          <t>NO</t>
        </is>
      </c>
      <c r="L568" s="30" t="inlineStr">
        <is>
          <t>New Lead</t>
        </is>
      </c>
      <c r="O568" s="30" t="inlineStr">
        <is>
          <t>Constructed email</t>
        </is>
      </c>
      <c r="P568" s="30" t="n">
        <v>2500</v>
      </c>
      <c r="Q568" s="30" t="n">
        <v>0</v>
      </c>
      <c r="R568" s="30">
        <f>IF(J568="","",TODAY()-DATE(LEFT(J568,4)*1,MID(J568,6,2)*1,RIGHT(J568,2)*1))</f>
        <v/>
      </c>
      <c r="S568" s="30" t="inlineStr">
        <is>
          <t>University Website</t>
        </is>
      </c>
    </row>
    <row r="569" ht="15" customHeight="1" s="31">
      <c r="A569" s="30" t="n">
        <v>567</v>
      </c>
      <c r="B569" s="30" t="inlineStr">
        <is>
          <t>Marianne</t>
        </is>
      </c>
      <c r="C569" s="30" t="inlineStr">
        <is>
          <t>Lund</t>
        </is>
      </c>
      <c r="D569" s="30" t="inlineStr">
        <is>
          <t>Virginia Commonwealth University</t>
        </is>
      </c>
      <c r="E569" s="30" t="inlineStr">
        <is>
          <t>Social Work PhD</t>
        </is>
      </c>
      <c r="F569" s="30" t="inlineStr">
        <is>
          <t>High</t>
        </is>
      </c>
      <c r="G569" s="30" t="inlineStr">
        <is>
          <t>High</t>
        </is>
      </c>
      <c r="H569" s="30" t="inlineStr">
        <is>
          <t>lundma@vcu.edu</t>
        </is>
      </c>
      <c r="I569" s="30" t="inlineStr">
        <is>
          <t>2026-04-03</t>
        </is>
      </c>
      <c r="K569" s="30" t="inlineStr">
        <is>
          <t>NO</t>
        </is>
      </c>
      <c r="L569" s="30" t="inlineStr">
        <is>
          <t>New Lead</t>
        </is>
      </c>
      <c r="O569" s="30" t="inlineStr">
        <is>
          <t>Constructed email</t>
        </is>
      </c>
      <c r="P569" s="30" t="n">
        <v>2500</v>
      </c>
      <c r="Q569" s="30" t="n">
        <v>0</v>
      </c>
      <c r="R569" s="30">
        <f>IF(J569="","",TODAY()-DATE(LEFT(J569,4)*1,MID(J569,6,2)*1,RIGHT(J569,2)*1))</f>
        <v/>
      </c>
      <c r="S569" s="30" t="inlineStr">
        <is>
          <t>University Website</t>
        </is>
      </c>
    </row>
    <row r="570" ht="15" customHeight="1" s="31">
      <c r="A570" s="30" t="n">
        <v>568</v>
      </c>
      <c r="B570" s="30" t="inlineStr">
        <is>
          <t>Allison</t>
        </is>
      </c>
      <c r="C570" s="30" t="inlineStr">
        <is>
          <t>Borek</t>
        </is>
      </c>
      <c r="D570" s="30" t="inlineStr">
        <is>
          <t>Duke University</t>
        </is>
      </c>
      <c r="E570" s="30" t="inlineStr">
        <is>
          <t>Nursing PhD</t>
        </is>
      </c>
      <c r="F570" s="30" t="inlineStr">
        <is>
          <t>High</t>
        </is>
      </c>
      <c r="G570" s="30" t="inlineStr">
        <is>
          <t>High</t>
        </is>
      </c>
      <c r="H570" s="30" t="inlineStr">
        <is>
          <t>allison.borek@duke.edu</t>
        </is>
      </c>
      <c r="I570" s="30" t="inlineStr">
        <is>
          <t>2026-04-03</t>
        </is>
      </c>
      <c r="K570" s="30" t="inlineStr">
        <is>
          <t>NO</t>
        </is>
      </c>
      <c r="L570" s="30" t="inlineStr">
        <is>
          <t>New Lead</t>
        </is>
      </c>
      <c r="O570" s="30" t="inlineStr">
        <is>
          <t>Constructed email; Jonas Scholar research focus: cancer care disparities</t>
        </is>
      </c>
      <c r="P570" s="30" t="n">
        <v>2500</v>
      </c>
      <c r="Q570" s="30" t="n">
        <v>0</v>
      </c>
      <c r="R570" s="30">
        <f>IF(J570="","",TODAY()-DATE(LEFT(J570,4)*1,MID(J570,6,2)*1,RIGHT(J570,2)*1))</f>
        <v/>
      </c>
      <c r="S570" s="30" t="inlineStr">
        <is>
          <t>University Website</t>
        </is>
      </c>
    </row>
    <row r="571" ht="15" customHeight="1" s="31">
      <c r="A571" s="30" t="n">
        <v>569</v>
      </c>
      <c r="B571" s="30" t="inlineStr">
        <is>
          <t>Kevin</t>
        </is>
      </c>
      <c r="C571" s="30" t="inlineStr">
        <is>
          <t>Gao</t>
        </is>
      </c>
      <c r="D571" s="30" t="inlineStr">
        <is>
          <t>Duke University</t>
        </is>
      </c>
      <c r="E571" s="30" t="inlineStr">
        <is>
          <t>Nursing PhD</t>
        </is>
      </c>
      <c r="F571" s="30" t="inlineStr">
        <is>
          <t>High</t>
        </is>
      </c>
      <c r="G571" s="30" t="inlineStr">
        <is>
          <t>High</t>
        </is>
      </c>
      <c r="H571" s="30" t="inlineStr">
        <is>
          <t>kevin.gao@duke.edu</t>
        </is>
      </c>
      <c r="I571" s="30" t="inlineStr">
        <is>
          <t>2026-04-03</t>
        </is>
      </c>
      <c r="K571" s="30" t="inlineStr">
        <is>
          <t>NO</t>
        </is>
      </c>
      <c r="L571" s="30" t="inlineStr">
        <is>
          <t>New Lead</t>
        </is>
      </c>
      <c r="O571" s="30" t="inlineStr">
        <is>
          <t>Constructed email; Jonas Scholar 2024-2026; social determinants &amp; stroke care</t>
        </is>
      </c>
      <c r="P571" s="30" t="n">
        <v>2500</v>
      </c>
      <c r="Q571" s="30" t="n">
        <v>0</v>
      </c>
      <c r="R571" s="30">
        <f>IF(J571="","",TODAY()-DATE(LEFT(J571,4)*1,MID(J571,6,2)*1,RIGHT(J571,2)*1))</f>
        <v/>
      </c>
      <c r="S571" s="30" t="inlineStr">
        <is>
          <t>University Website</t>
        </is>
      </c>
    </row>
    <row r="572" ht="15" customHeight="1" s="31">
      <c r="A572" s="30" t="n">
        <v>570</v>
      </c>
      <c r="B572" s="30" t="inlineStr">
        <is>
          <t>Bonnie</t>
        </is>
      </c>
      <c r="C572" s="30" t="inlineStr">
        <is>
          <t>Hunt</t>
        </is>
      </c>
      <c r="D572" s="30" t="inlineStr">
        <is>
          <t>Duke University</t>
        </is>
      </c>
      <c r="E572" s="30" t="inlineStr">
        <is>
          <t>Nursing PhD</t>
        </is>
      </c>
      <c r="F572" s="30" t="inlineStr">
        <is>
          <t>High</t>
        </is>
      </c>
      <c r="G572" s="30" t="inlineStr">
        <is>
          <t>High</t>
        </is>
      </c>
      <c r="H572" s="30" t="inlineStr">
        <is>
          <t>bonnie.hunt@duke.edu</t>
        </is>
      </c>
      <c r="I572" s="30" t="inlineStr">
        <is>
          <t>2026-04-03</t>
        </is>
      </c>
      <c r="K572" s="30" t="inlineStr">
        <is>
          <t>NO</t>
        </is>
      </c>
      <c r="L572" s="30" t="inlineStr">
        <is>
          <t>New Lead</t>
        </is>
      </c>
      <c r="O572" s="30" t="inlineStr">
        <is>
          <t>Constructed email; Jonas Scholar 2024-2026; transportation insecurity &amp; surgery</t>
        </is>
      </c>
      <c r="P572" s="30" t="n">
        <v>2500</v>
      </c>
      <c r="Q572" s="30" t="n">
        <v>0</v>
      </c>
      <c r="R572" s="30">
        <f>IF(J572="","",TODAY()-DATE(LEFT(J572,4)*1,MID(J572,6,2)*1,RIGHT(J572,2)*1))</f>
        <v/>
      </c>
      <c r="S572" s="30" t="inlineStr">
        <is>
          <t>University Website</t>
        </is>
      </c>
    </row>
    <row r="573" ht="15" customHeight="1" s="31">
      <c r="A573" s="30" t="n">
        <v>571</v>
      </c>
      <c r="B573" s="30" t="inlineStr">
        <is>
          <t>Jill</t>
        </is>
      </c>
      <c r="C573" s="30" t="inlineStr">
        <is>
          <t>Sergison</t>
        </is>
      </c>
      <c r="D573" s="30" t="inlineStr">
        <is>
          <t>Duke University</t>
        </is>
      </c>
      <c r="E573" s="30" t="inlineStr">
        <is>
          <t>Nursing PhD</t>
        </is>
      </c>
      <c r="F573" s="30" t="inlineStr">
        <is>
          <t>High</t>
        </is>
      </c>
      <c r="G573" s="30" t="inlineStr">
        <is>
          <t>High</t>
        </is>
      </c>
      <c r="H573" s="30" t="inlineStr">
        <is>
          <t>jill.sergison@duke.edu</t>
        </is>
      </c>
      <c r="I573" s="30" t="inlineStr">
        <is>
          <t>2026-04-03</t>
        </is>
      </c>
      <c r="K573" s="30" t="inlineStr">
        <is>
          <t>NO</t>
        </is>
      </c>
      <c r="L573" s="30" t="inlineStr">
        <is>
          <t>New Lead</t>
        </is>
      </c>
      <c r="O573" s="30" t="inlineStr">
        <is>
          <t>Constructed email; cervical cancer screening &amp; trust in Appalachia</t>
        </is>
      </c>
      <c r="P573" s="30" t="n">
        <v>2500</v>
      </c>
      <c r="Q573" s="30" t="n">
        <v>0</v>
      </c>
      <c r="R573" s="30">
        <f>IF(J573="","",TODAY()-DATE(LEFT(J573,4)*1,MID(J573,6,2)*1,RIGHT(J573,2)*1))</f>
        <v/>
      </c>
      <c r="S573" s="30" t="inlineStr">
        <is>
          <t>University Website</t>
        </is>
      </c>
    </row>
    <row r="574" ht="15" customHeight="1" s="31">
      <c r="A574" s="30" t="n">
        <v>572</v>
      </c>
      <c r="B574" s="30" t="inlineStr">
        <is>
          <t>Olivia</t>
        </is>
      </c>
      <c r="C574" s="30" t="inlineStr">
        <is>
          <t>Short</t>
        </is>
      </c>
      <c r="D574" s="30" t="inlineStr">
        <is>
          <t>Duke University</t>
        </is>
      </c>
      <c r="E574" s="30" t="inlineStr">
        <is>
          <t>Nursing PhD</t>
        </is>
      </c>
      <c r="F574" s="30" t="inlineStr">
        <is>
          <t>High</t>
        </is>
      </c>
      <c r="G574" s="30" t="inlineStr">
        <is>
          <t>High</t>
        </is>
      </c>
      <c r="H574" s="30" t="inlineStr">
        <is>
          <t>olivia.short@duke.edu</t>
        </is>
      </c>
      <c r="I574" s="30" t="inlineStr">
        <is>
          <t>2026-04-03</t>
        </is>
      </c>
      <c r="K574" s="30" t="inlineStr">
        <is>
          <t>NO</t>
        </is>
      </c>
      <c r="L574" s="30" t="inlineStr">
        <is>
          <t>New Lead</t>
        </is>
      </c>
      <c r="O574" s="30" t="inlineStr">
        <is>
          <t>Constructed email; clinical research nurse background</t>
        </is>
      </c>
      <c r="P574" s="30" t="n">
        <v>2500</v>
      </c>
      <c r="Q574" s="30" t="n">
        <v>0</v>
      </c>
      <c r="R574" s="30">
        <f>IF(J574="","",TODAY()-DATE(LEFT(J574,4)*1,MID(J574,6,2)*1,RIGHT(J574,2)*1))</f>
        <v/>
      </c>
      <c r="S574" s="30" t="inlineStr">
        <is>
          <t>University Website</t>
        </is>
      </c>
    </row>
    <row r="575" ht="15" customHeight="1" s="31">
      <c r="A575" s="30" t="n">
        <v>573</v>
      </c>
      <c r="B575" s="30" t="inlineStr">
        <is>
          <t>Aderonke</t>
        </is>
      </c>
      <c r="C575" s="30" t="inlineStr">
        <is>
          <t>Kareem</t>
        </is>
      </c>
      <c r="D575" s="30" t="inlineStr">
        <is>
          <t>Duke University</t>
        </is>
      </c>
      <c r="E575" s="30" t="inlineStr">
        <is>
          <t>Nursing PhD</t>
        </is>
      </c>
      <c r="F575" s="30" t="inlineStr">
        <is>
          <t>High</t>
        </is>
      </c>
      <c r="G575" s="30" t="inlineStr">
        <is>
          <t>High</t>
        </is>
      </c>
      <c r="H575" s="30" t="inlineStr">
        <is>
          <t>aderonke.kareem@duke.edu</t>
        </is>
      </c>
      <c r="I575" s="30" t="inlineStr">
        <is>
          <t>2026-04-03</t>
        </is>
      </c>
      <c r="K575" s="30" t="inlineStr">
        <is>
          <t>NO</t>
        </is>
      </c>
      <c r="L575" s="30" t="inlineStr">
        <is>
          <t>New Lead</t>
        </is>
      </c>
      <c r="O575" s="30" t="inlineStr">
        <is>
          <t>Constructed email; sickle cell disease &amp; chronic pain disparities</t>
        </is>
      </c>
      <c r="P575" s="30" t="n">
        <v>2500</v>
      </c>
      <c r="Q575" s="30" t="n">
        <v>0</v>
      </c>
      <c r="R575" s="30">
        <f>IF(J575="","",TODAY()-DATE(LEFT(J575,4)*1,MID(J575,6,2)*1,RIGHT(J575,2)*1))</f>
        <v/>
      </c>
      <c r="S575" s="30" t="inlineStr">
        <is>
          <t>University Website</t>
        </is>
      </c>
    </row>
    <row r="576" ht="15" customHeight="1" s="31">
      <c r="A576" s="30" t="n">
        <v>574</v>
      </c>
      <c r="B576" s="30" t="inlineStr">
        <is>
          <t>Jolie</t>
        </is>
      </c>
      <c r="C576" s="30" t="inlineStr">
        <is>
          <t>Jemmott</t>
        </is>
      </c>
      <c r="D576" s="30" t="inlineStr">
        <is>
          <t>Duke University</t>
        </is>
      </c>
      <c r="E576" s="30" t="inlineStr">
        <is>
          <t>Nursing PhD</t>
        </is>
      </c>
      <c r="F576" s="30" t="inlineStr">
        <is>
          <t>High</t>
        </is>
      </c>
      <c r="G576" s="30" t="inlineStr">
        <is>
          <t>High</t>
        </is>
      </c>
      <c r="H576" s="30" t="inlineStr">
        <is>
          <t>jolie.jemmott@duke.edu</t>
        </is>
      </c>
      <c r="I576" s="30" t="inlineStr">
        <is>
          <t>2026-04-03</t>
        </is>
      </c>
      <c r="K576" s="30" t="inlineStr">
        <is>
          <t>NO</t>
        </is>
      </c>
      <c r="L576" s="30" t="inlineStr">
        <is>
          <t>New Lead</t>
        </is>
      </c>
      <c r="O576" s="30" t="inlineStr">
        <is>
          <t>Constructed email; psychiatric MHNP; African American men dual diagnosis</t>
        </is>
      </c>
      <c r="P576" s="30" t="n">
        <v>2500</v>
      </c>
      <c r="Q576" s="30" t="n">
        <v>0</v>
      </c>
      <c r="R576" s="30">
        <f>IF(J576="","",TODAY()-DATE(LEFT(J576,4)*1,MID(J576,6,2)*1,RIGHT(J576,2)*1))</f>
        <v/>
      </c>
      <c r="S576" s="30" t="inlineStr">
        <is>
          <t>University Website</t>
        </is>
      </c>
    </row>
    <row r="577" ht="15" customHeight="1" s="31">
      <c r="A577" s="30" t="n">
        <v>575</v>
      </c>
      <c r="B577" s="30" t="inlineStr">
        <is>
          <t>Luke</t>
        </is>
      </c>
      <c r="C577" s="30" t="inlineStr">
        <is>
          <t>Velickoff</t>
        </is>
      </c>
      <c r="D577" s="30" t="inlineStr">
        <is>
          <t>Duke University</t>
        </is>
      </c>
      <c r="E577" s="30" t="inlineStr">
        <is>
          <t>Nursing PhD</t>
        </is>
      </c>
      <c r="F577" s="30" t="inlineStr">
        <is>
          <t>High</t>
        </is>
      </c>
      <c r="G577" s="30" t="inlineStr">
        <is>
          <t>High</t>
        </is>
      </c>
      <c r="H577" s="30" t="inlineStr">
        <is>
          <t>luke.velickoff@duke.edu</t>
        </is>
      </c>
      <c r="I577" s="30" t="inlineStr">
        <is>
          <t>2026-04-03</t>
        </is>
      </c>
      <c r="K577" s="30" t="inlineStr">
        <is>
          <t>NO</t>
        </is>
      </c>
      <c r="L577" s="30" t="inlineStr">
        <is>
          <t>New Lead</t>
        </is>
      </c>
      <c r="O577" s="30" t="inlineStr">
        <is>
          <t>Constructed email; transgender &amp; gender-diverse acute care</t>
        </is>
      </c>
      <c r="P577" s="30" t="n">
        <v>2500</v>
      </c>
      <c r="Q577" s="30" t="n">
        <v>0</v>
      </c>
      <c r="R577" s="30">
        <f>IF(J577="","",TODAY()-DATE(LEFT(J577,4)*1,MID(J577,6,2)*1,RIGHT(J577,2)*1))</f>
        <v/>
      </c>
      <c r="S577" s="30" t="inlineStr">
        <is>
          <t>University Website</t>
        </is>
      </c>
    </row>
    <row r="578" ht="15" customHeight="1" s="31">
      <c r="A578" s="30" t="n">
        <v>576</v>
      </c>
      <c r="B578" s="30" t="inlineStr">
        <is>
          <t>Abigail</t>
        </is>
      </c>
      <c r="C578" s="30" t="inlineStr">
        <is>
          <t>Milhaven</t>
        </is>
      </c>
      <c r="D578" s="30" t="inlineStr">
        <is>
          <t>George Mason University</t>
        </is>
      </c>
      <c r="E578" s="30" t="inlineStr">
        <is>
          <t>Psychology PhD</t>
        </is>
      </c>
      <c r="F578" s="30" t="inlineStr">
        <is>
          <t>High</t>
        </is>
      </c>
      <c r="G578" s="30" t="inlineStr">
        <is>
          <t>High</t>
        </is>
      </c>
      <c r="H578" s="30" t="inlineStr">
        <is>
          <t>amilhave@gmu.edu</t>
        </is>
      </c>
      <c r="I578" s="30" t="inlineStr">
        <is>
          <t>2026-04-03</t>
        </is>
      </c>
      <c r="K578" s="30" t="inlineStr">
        <is>
          <t>NO</t>
        </is>
      </c>
      <c r="L578" s="30" t="inlineStr">
        <is>
          <t>New Lead</t>
        </is>
      </c>
      <c r="O578" s="30" t="inlineStr">
        <is>
          <t>Constructed email; Applied Developmental Psychology</t>
        </is>
      </c>
      <c r="P578" s="30" t="n">
        <v>2500</v>
      </c>
      <c r="Q578" s="30" t="n">
        <v>0</v>
      </c>
      <c r="R578" s="30">
        <f>IF(J578="","",TODAY()-DATE(LEFT(J578,4)*1,MID(J578,6,2)*1,RIGHT(J578,2)*1))</f>
        <v/>
      </c>
      <c r="S578" s="30" t="inlineStr">
        <is>
          <t>University Website</t>
        </is>
      </c>
    </row>
    <row r="579" ht="15" customHeight="1" s="31">
      <c r="A579" s="30" t="n">
        <v>577</v>
      </c>
      <c r="B579" s="30" t="inlineStr">
        <is>
          <t>Caroline</t>
        </is>
      </c>
      <c r="C579" s="30" t="inlineStr">
        <is>
          <t>Toth</t>
        </is>
      </c>
      <c r="D579" s="30" t="inlineStr">
        <is>
          <t>George Mason University</t>
        </is>
      </c>
      <c r="E579" s="30" t="inlineStr">
        <is>
          <t>Psychology PhD</t>
        </is>
      </c>
      <c r="F579" s="30" t="inlineStr">
        <is>
          <t>High</t>
        </is>
      </c>
      <c r="G579" s="30" t="inlineStr">
        <is>
          <t>High</t>
        </is>
      </c>
      <c r="H579" s="30" t="inlineStr">
        <is>
          <t>ctoth@gmu.edu</t>
        </is>
      </c>
      <c r="I579" s="30" t="inlineStr">
        <is>
          <t>2026-04-03</t>
        </is>
      </c>
      <c r="K579" s="30" t="inlineStr">
        <is>
          <t>NO</t>
        </is>
      </c>
      <c r="L579" s="30" t="inlineStr">
        <is>
          <t>New Lead</t>
        </is>
      </c>
      <c r="O579" s="30" t="inlineStr">
        <is>
          <t>Constructed email; adolescent social media &amp; friendship networks</t>
        </is>
      </c>
      <c r="P579" s="30" t="n">
        <v>2500</v>
      </c>
      <c r="Q579" s="30" t="n">
        <v>0</v>
      </c>
      <c r="R579" s="30">
        <f>IF(J579="","",TODAY()-DATE(LEFT(J579,4)*1,MID(J579,6,2)*1,RIGHT(J579,2)*1))</f>
        <v/>
      </c>
      <c r="S579" s="30" t="inlineStr">
        <is>
          <t>University Website</t>
        </is>
      </c>
    </row>
    <row r="580" ht="15" customHeight="1" s="31">
      <c r="A580" s="30" t="n">
        <v>578</v>
      </c>
      <c r="B580" s="30" t="inlineStr">
        <is>
          <t>Daniela</t>
        </is>
      </c>
      <c r="C580" s="30" t="inlineStr">
        <is>
          <t>Stapleton</t>
        </is>
      </c>
      <c r="D580" s="30" t="inlineStr">
        <is>
          <t>George Mason University</t>
        </is>
      </c>
      <c r="E580" s="30" t="inlineStr">
        <is>
          <t>Psychology PhD</t>
        </is>
      </c>
      <c r="F580" s="30" t="inlineStr">
        <is>
          <t>High</t>
        </is>
      </c>
      <c r="G580" s="30" t="inlineStr">
        <is>
          <t>High</t>
        </is>
      </c>
      <c r="H580" s="30" t="inlineStr">
        <is>
          <t>dstaple@gmu.edu</t>
        </is>
      </c>
      <c r="I580" s="30" t="inlineStr">
        <is>
          <t>2026-04-03</t>
        </is>
      </c>
      <c r="K580" s="30" t="inlineStr">
        <is>
          <t>NO</t>
        </is>
      </c>
      <c r="L580" s="30" t="inlineStr">
        <is>
          <t>New Lead</t>
        </is>
      </c>
      <c r="O580" s="30" t="inlineStr">
        <is>
          <t>Constructed email; Doctoral Research Scholar Fellow</t>
        </is>
      </c>
      <c r="P580" s="30" t="n">
        <v>2500</v>
      </c>
      <c r="Q580" s="30" t="n">
        <v>0</v>
      </c>
      <c r="R580" s="30">
        <f>IF(J580="","",TODAY()-DATE(LEFT(J580,4)*1,MID(J580,6,2)*1,RIGHT(J580,2)*1))</f>
        <v/>
      </c>
      <c r="S580" s="30" t="inlineStr">
        <is>
          <t>University Website</t>
        </is>
      </c>
    </row>
    <row r="581" ht="15" customHeight="1" s="31">
      <c r="A581" s="30" t="n">
        <v>579</v>
      </c>
      <c r="B581" s="30" t="inlineStr">
        <is>
          <t>Madeline</t>
        </is>
      </c>
      <c r="C581" s="30" t="inlineStr">
        <is>
          <t>Wonders</t>
        </is>
      </c>
      <c r="D581" s="30" t="inlineStr">
        <is>
          <t>George Mason University</t>
        </is>
      </c>
      <c r="E581" s="30" t="inlineStr">
        <is>
          <t>Psychology PhD</t>
        </is>
      </c>
      <c r="F581" s="30" t="inlineStr">
        <is>
          <t>High</t>
        </is>
      </c>
      <c r="G581" s="30" t="inlineStr">
        <is>
          <t>High</t>
        </is>
      </c>
      <c r="H581" s="30" t="inlineStr">
        <is>
          <t>mwonders@gmu.edu</t>
        </is>
      </c>
      <c r="I581" s="30" t="inlineStr">
        <is>
          <t>2026-04-03</t>
        </is>
      </c>
      <c r="K581" s="30" t="inlineStr">
        <is>
          <t>NO</t>
        </is>
      </c>
      <c r="L581" s="30" t="inlineStr">
        <is>
          <t>New Lead</t>
        </is>
      </c>
      <c r="O581" s="30" t="inlineStr">
        <is>
          <t>Constructed email; I-O Psychology</t>
        </is>
      </c>
      <c r="P581" s="30" t="n">
        <v>2500</v>
      </c>
      <c r="Q581" s="30" t="n">
        <v>0</v>
      </c>
      <c r="R581" s="30">
        <f>IF(J581="","",TODAY()-DATE(LEFT(J581,4)*1,MID(J581,6,2)*1,RIGHT(J581,2)*1))</f>
        <v/>
      </c>
      <c r="S581" s="30" t="inlineStr">
        <is>
          <t>University Website</t>
        </is>
      </c>
    </row>
    <row r="582" ht="15" customHeight="1" s="31">
      <c r="A582" s="30" t="n">
        <v>580</v>
      </c>
      <c r="B582" s="30" t="inlineStr">
        <is>
          <t>Julia</t>
        </is>
      </c>
      <c r="C582" s="30" t="inlineStr">
        <is>
          <t>Baines</t>
        </is>
      </c>
      <c r="D582" s="30" t="inlineStr">
        <is>
          <t>George Mason University</t>
        </is>
      </c>
      <c r="E582" s="30" t="inlineStr">
        <is>
          <t>Psychology PhD</t>
        </is>
      </c>
      <c r="F582" s="30" t="inlineStr">
        <is>
          <t>High</t>
        </is>
      </c>
      <c r="G582" s="30" t="inlineStr">
        <is>
          <t>High</t>
        </is>
      </c>
      <c r="H582" s="30" t="inlineStr">
        <is>
          <t>jbaines2@gmu.edu</t>
        </is>
      </c>
      <c r="I582" s="30" t="inlineStr">
        <is>
          <t>2026-04-03</t>
        </is>
      </c>
      <c r="K582" s="30" t="inlineStr">
        <is>
          <t>NO</t>
        </is>
      </c>
      <c r="L582" s="30" t="inlineStr">
        <is>
          <t>New Lead</t>
        </is>
      </c>
      <c r="O582" s="30" t="inlineStr">
        <is>
          <t>Constructed email (from profile URL); I-O Psychology</t>
        </is>
      </c>
      <c r="P582" s="30" t="n">
        <v>2500</v>
      </c>
      <c r="Q582" s="30" t="n">
        <v>0</v>
      </c>
      <c r="R582" s="30">
        <f>IF(J582="","",TODAY()-DATE(LEFT(J582,4)*1,MID(J582,6,2)*1,RIGHT(J582,2)*1))</f>
        <v/>
      </c>
      <c r="S582" s="30" t="inlineStr">
        <is>
          <t>University Website</t>
        </is>
      </c>
    </row>
    <row r="583" ht="15" customHeight="1" s="31">
      <c r="A583" s="30" t="n">
        <v>581</v>
      </c>
      <c r="B583" s="30" t="inlineStr">
        <is>
          <t>Nicole</t>
        </is>
      </c>
      <c r="C583" s="30" t="inlineStr">
        <is>
          <t>Kelso</t>
        </is>
      </c>
      <c r="D583" s="30" t="inlineStr">
        <is>
          <t>Rowan University</t>
        </is>
      </c>
      <c r="E583" s="30" t="inlineStr">
        <is>
          <t>Psychology PhD</t>
        </is>
      </c>
      <c r="F583" s="30" t="inlineStr">
        <is>
          <t>High</t>
        </is>
      </c>
      <c r="G583" s="30" t="inlineStr">
        <is>
          <t>High</t>
        </is>
      </c>
      <c r="H583" s="30" t="inlineStr">
        <is>
          <t>kelso@rowan.edu</t>
        </is>
      </c>
      <c r="I583" s="30" t="inlineStr">
        <is>
          <t>2026-04-03</t>
        </is>
      </c>
      <c r="K583" s="30" t="inlineStr">
        <is>
          <t>NO</t>
        </is>
      </c>
      <c r="L583" s="30" t="inlineStr">
        <is>
          <t>New Lead</t>
        </is>
      </c>
      <c r="O583" s="30" t="inlineStr">
        <is>
          <t>Constructed email; 5th-year PhD candidate in Clinical Psychology</t>
        </is>
      </c>
      <c r="P583" s="30" t="n">
        <v>2500</v>
      </c>
      <c r="Q583" s="30" t="n">
        <v>0</v>
      </c>
      <c r="R583" s="30">
        <f>IF(J583="","",TODAY()-DATE(LEFT(J583,4)*1,MID(J583,6,2)*1,RIGHT(J583,2)*1))</f>
        <v/>
      </c>
      <c r="S583" s="30" t="inlineStr">
        <is>
          <t>University Website</t>
        </is>
      </c>
    </row>
    <row r="584" ht="15" customHeight="1" s="31">
      <c r="A584" s="30" t="n">
        <v>582</v>
      </c>
      <c r="B584" s="30" t="inlineStr">
        <is>
          <t>Anisha</t>
        </is>
      </c>
      <c r="C584" s="30" t="inlineStr">
        <is>
          <t>Satish</t>
        </is>
      </c>
      <c r="D584" s="30" t="inlineStr">
        <is>
          <t>Rowan University</t>
        </is>
      </c>
      <c r="E584" s="30" t="inlineStr">
        <is>
          <t>Psychology PhD</t>
        </is>
      </c>
      <c r="F584" s="30" t="inlineStr">
        <is>
          <t>High</t>
        </is>
      </c>
      <c r="G584" s="30" t="inlineStr">
        <is>
          <t>High</t>
        </is>
      </c>
      <c r="H584" s="30" t="inlineStr">
        <is>
          <t>satish@rowan.edu</t>
        </is>
      </c>
      <c r="I584" s="30" t="inlineStr">
        <is>
          <t>2026-04-03</t>
        </is>
      </c>
      <c r="K584" s="30" t="inlineStr">
        <is>
          <t>NO</t>
        </is>
      </c>
      <c r="L584" s="30" t="inlineStr">
        <is>
          <t>New Lead</t>
        </is>
      </c>
      <c r="O584" s="30" t="inlineStr">
        <is>
          <t>Constructed email; 4th-year doctoral candidate, Clinical Psychology</t>
        </is>
      </c>
      <c r="P584" s="30" t="n">
        <v>2500</v>
      </c>
      <c r="Q584" s="30" t="n">
        <v>0</v>
      </c>
      <c r="R584" s="30">
        <f>IF(J584="","",TODAY()-DATE(LEFT(J584,4)*1,MID(J584,6,2)*1,RIGHT(J584,2)*1))</f>
        <v/>
      </c>
      <c r="S584" s="30" t="inlineStr">
        <is>
          <t>University Website</t>
        </is>
      </c>
    </row>
    <row r="585" ht="15" customHeight="1" s="31">
      <c r="A585" s="30" t="n">
        <v>583</v>
      </c>
      <c r="B585" s="30" t="inlineStr">
        <is>
          <t>Allison</t>
        </is>
      </c>
      <c r="C585" s="30" t="inlineStr">
        <is>
          <t>Warner</t>
        </is>
      </c>
      <c r="D585" s="30" t="inlineStr">
        <is>
          <t>Rowan University</t>
        </is>
      </c>
      <c r="E585" s="30" t="inlineStr">
        <is>
          <t>Psychology PhD</t>
        </is>
      </c>
      <c r="F585" s="30" t="inlineStr">
        <is>
          <t>High</t>
        </is>
      </c>
      <c r="G585" s="30" t="inlineStr">
        <is>
          <t>High</t>
        </is>
      </c>
      <c r="H585" s="30" t="inlineStr">
        <is>
          <t>warner@rowan.edu</t>
        </is>
      </c>
      <c r="I585" s="30" t="inlineStr">
        <is>
          <t>2026-04-03</t>
        </is>
      </c>
      <c r="K585" s="30" t="inlineStr">
        <is>
          <t>NO</t>
        </is>
      </c>
      <c r="L585" s="30" t="inlineStr">
        <is>
          <t>New Lead</t>
        </is>
      </c>
      <c r="O585" s="30" t="inlineStr">
        <is>
          <t>Constructed email; 3rd-year doctoral student, Clinical Psychology</t>
        </is>
      </c>
      <c r="P585" s="30" t="n">
        <v>2500</v>
      </c>
      <c r="Q585" s="30" t="n">
        <v>0</v>
      </c>
      <c r="R585" s="30">
        <f>IF(J585="","",TODAY()-DATE(LEFT(J585,4)*1,MID(J585,6,2)*1,RIGHT(J585,2)*1))</f>
        <v/>
      </c>
      <c r="S585" s="30" t="inlineStr">
        <is>
          <t>University Website</t>
        </is>
      </c>
    </row>
    <row r="586" ht="15" customHeight="1" s="31">
      <c r="A586" s="30" t="n">
        <v>584</v>
      </c>
      <c r="B586" s="30" t="inlineStr">
        <is>
          <t>Ramya</t>
        </is>
      </c>
      <c r="C586" s="30" t="inlineStr">
        <is>
          <t>Ramadurai</t>
        </is>
      </c>
      <c r="D586" s="30" t="inlineStr">
        <is>
          <t>American University</t>
        </is>
      </c>
      <c r="E586" s="30" t="inlineStr">
        <is>
          <t>Psychology PhD</t>
        </is>
      </c>
      <c r="F586" s="30" t="inlineStr">
        <is>
          <t>High</t>
        </is>
      </c>
      <c r="G586" s="30" t="inlineStr">
        <is>
          <t>High</t>
        </is>
      </c>
      <c r="H586" s="30" t="inlineStr">
        <is>
          <t>ramadurai.ramya@american.edu</t>
        </is>
      </c>
      <c r="I586" s="30" t="inlineStr">
        <is>
          <t>2026-04-03</t>
        </is>
      </c>
      <c r="K586" s="30" t="inlineStr">
        <is>
          <t>NO</t>
        </is>
      </c>
      <c r="L586" s="30" t="inlineStr">
        <is>
          <t>New Lead</t>
        </is>
      </c>
      <c r="O586" s="30" t="inlineStr">
        <is>
          <t>Constructed email; emotion regulation interventions for Black women</t>
        </is>
      </c>
      <c r="P586" s="30" t="n">
        <v>2500</v>
      </c>
      <c r="Q586" s="30" t="n">
        <v>0</v>
      </c>
      <c r="R586" s="30">
        <f>IF(J586="","",TODAY()-DATE(LEFT(J586,4)*1,MID(J586,6,2)*1,RIGHT(J586,2)*1))</f>
        <v/>
      </c>
      <c r="S586" s="30" t="inlineStr">
        <is>
          <t>University Website</t>
        </is>
      </c>
    </row>
    <row r="587" ht="15" customHeight="1" s="31">
      <c r="A587" s="30" t="n">
        <v>585</v>
      </c>
      <c r="B587" s="30" t="inlineStr">
        <is>
          <t>Kelly</t>
        </is>
      </c>
      <c r="C587" s="30" t="inlineStr">
        <is>
          <t>Klein</t>
        </is>
      </c>
      <c r="D587" s="30" t="inlineStr">
        <is>
          <t>American University</t>
        </is>
      </c>
      <c r="E587" s="30" t="inlineStr">
        <is>
          <t>Psychology PhD</t>
        </is>
      </c>
      <c r="F587" s="30" t="inlineStr">
        <is>
          <t>High</t>
        </is>
      </c>
      <c r="G587" s="30" t="inlineStr">
        <is>
          <t>High</t>
        </is>
      </c>
      <c r="H587" s="30" t="inlineStr">
        <is>
          <t>klein.kelly@american.edu</t>
        </is>
      </c>
      <c r="I587" s="30" t="inlineStr">
        <is>
          <t>2026-04-03</t>
        </is>
      </c>
      <c r="K587" s="30" t="inlineStr">
        <is>
          <t>NO</t>
        </is>
      </c>
      <c r="L587" s="30" t="inlineStr">
        <is>
          <t>New Lead</t>
        </is>
      </c>
      <c r="O587" s="30" t="inlineStr">
        <is>
          <t>Constructed email; BPD &amp; MDD transdiagnostic mechanisms</t>
        </is>
      </c>
      <c r="P587" s="30" t="n">
        <v>2500</v>
      </c>
      <c r="Q587" s="30" t="n">
        <v>0</v>
      </c>
      <c r="R587" s="30">
        <f>IF(J587="","",TODAY()-DATE(LEFT(J587,4)*1,MID(J587,6,2)*1,RIGHT(J587,2)*1))</f>
        <v/>
      </c>
      <c r="S587" s="30" t="inlineStr">
        <is>
          <t>University Website</t>
        </is>
      </c>
    </row>
    <row r="588" ht="15" customHeight="1" s="31">
      <c r="A588" s="30" t="n">
        <v>586</v>
      </c>
      <c r="B588" s="30" t="inlineStr">
        <is>
          <t>Crystal</t>
        </is>
      </c>
      <c r="C588" s="30" t="inlineStr">
        <is>
          <t>Liu</t>
        </is>
      </c>
      <c r="D588" s="30" t="inlineStr">
        <is>
          <t>American University</t>
        </is>
      </c>
      <c r="E588" s="30" t="inlineStr">
        <is>
          <t>Psychology PhD</t>
        </is>
      </c>
      <c r="F588" s="30" t="inlineStr">
        <is>
          <t>High</t>
        </is>
      </c>
      <c r="G588" s="30" t="inlineStr">
        <is>
          <t>High</t>
        </is>
      </c>
      <c r="H588" s="30" t="inlineStr">
        <is>
          <t>liu.crystal@american.edu</t>
        </is>
      </c>
      <c r="I588" s="30" t="inlineStr">
        <is>
          <t>2026-04-03</t>
        </is>
      </c>
      <c r="K588" s="30" t="inlineStr">
        <is>
          <t>NO</t>
        </is>
      </c>
      <c r="L588" s="30" t="inlineStr">
        <is>
          <t>New Lead</t>
        </is>
      </c>
      <c r="O588" s="30" t="inlineStr">
        <is>
          <t>Constructed email; multicultural psychotherapy precision care</t>
        </is>
      </c>
      <c r="P588" s="30" t="n">
        <v>2500</v>
      </c>
      <c r="Q588" s="30" t="n">
        <v>0</v>
      </c>
      <c r="R588" s="30">
        <f>IF(J588="","",TODAY()-DATE(LEFT(J588,4)*1,MID(J588,6,2)*1,RIGHT(J588,2)*1))</f>
        <v/>
      </c>
      <c r="S588" s="30" t="inlineStr">
        <is>
          <t>University Website</t>
        </is>
      </c>
    </row>
    <row r="589" ht="15" customHeight="1" s="31">
      <c r="A589" s="30" t="n">
        <v>587</v>
      </c>
      <c r="B589" s="30" t="inlineStr">
        <is>
          <t>Ella</t>
        </is>
      </c>
      <c r="C589" s="30" t="inlineStr">
        <is>
          <t>Sudit</t>
        </is>
      </c>
      <c r="D589" s="30" t="inlineStr">
        <is>
          <t>American University</t>
        </is>
      </c>
      <c r="E589" s="30" t="inlineStr">
        <is>
          <t>Psychology PhD</t>
        </is>
      </c>
      <c r="F589" s="30" t="inlineStr">
        <is>
          <t>High</t>
        </is>
      </c>
      <c r="G589" s="30" t="inlineStr">
        <is>
          <t>High</t>
        </is>
      </c>
      <c r="H589" s="30" t="inlineStr">
        <is>
          <t>sudit.ella@american.edu</t>
        </is>
      </c>
      <c r="I589" s="30" t="inlineStr">
        <is>
          <t>2026-04-03</t>
        </is>
      </c>
      <c r="K589" s="30" t="inlineStr">
        <is>
          <t>NO</t>
        </is>
      </c>
      <c r="L589" s="30" t="inlineStr">
        <is>
          <t>New Lead</t>
        </is>
      </c>
      <c r="O589" s="30" t="inlineStr">
        <is>
          <t>Constructed email; interpersonal emotion differentiation</t>
        </is>
      </c>
      <c r="P589" s="30" t="n">
        <v>2500</v>
      </c>
      <c r="Q589" s="30" t="n">
        <v>0</v>
      </c>
      <c r="R589" s="30">
        <f>IF(J589="","",TODAY()-DATE(LEFT(J589,4)*1,MID(J589,6,2)*1,RIGHT(J589,2)*1))</f>
        <v/>
      </c>
      <c r="S589" s="30" t="inlineStr">
        <is>
          <t>University Website</t>
        </is>
      </c>
    </row>
    <row r="590" ht="15" customHeight="1" s="31">
      <c r="A590" s="30" t="n">
        <v>588</v>
      </c>
      <c r="B590" s="30" t="inlineStr">
        <is>
          <t>Zoe</t>
        </is>
      </c>
      <c r="C590" s="30" t="inlineStr">
        <is>
          <t>Laky</t>
        </is>
      </c>
      <c r="D590" s="30" t="inlineStr">
        <is>
          <t>American University</t>
        </is>
      </c>
      <c r="E590" s="30" t="inlineStr">
        <is>
          <t>Psychology PhD</t>
        </is>
      </c>
      <c r="F590" s="30" t="inlineStr">
        <is>
          <t>High</t>
        </is>
      </c>
      <c r="G590" s="30" t="inlineStr">
        <is>
          <t>High</t>
        </is>
      </c>
      <c r="H590" s="30" t="inlineStr">
        <is>
          <t>laky.zoe@american.edu</t>
        </is>
      </c>
      <c r="I590" s="30" t="inlineStr">
        <is>
          <t>2026-04-03</t>
        </is>
      </c>
      <c r="K590" s="30" t="inlineStr">
        <is>
          <t>NO</t>
        </is>
      </c>
      <c r="L590" s="30" t="inlineStr">
        <is>
          <t>New Lead</t>
        </is>
      </c>
      <c r="O590" s="30" t="inlineStr">
        <is>
          <t>Constructed email; NIMH Pre-doctoral IRTA Fellow; youth psychopathology ML</t>
        </is>
      </c>
      <c r="P590" s="30" t="n">
        <v>2500</v>
      </c>
      <c r="Q590" s="30" t="n">
        <v>0</v>
      </c>
      <c r="R590" s="30">
        <f>IF(J590="","",TODAY()-DATE(LEFT(J590,4)*1,MID(J590,6,2)*1,RIGHT(J590,2)*1))</f>
        <v/>
      </c>
      <c r="S590" s="30" t="inlineStr">
        <is>
          <t>University Website</t>
        </is>
      </c>
    </row>
    <row r="591" ht="15" customHeight="1" s="31">
      <c r="A591" s="30" t="n">
        <v>589</v>
      </c>
      <c r="B591" s="30" t="inlineStr">
        <is>
          <t>Allison</t>
        </is>
      </c>
      <c r="C591" s="30" t="inlineStr">
        <is>
          <t>Tietz</t>
        </is>
      </c>
      <c r="D591" s="30" t="inlineStr">
        <is>
          <t>American University</t>
        </is>
      </c>
      <c r="E591" s="30" t="inlineStr">
        <is>
          <t>Psychology PhD</t>
        </is>
      </c>
      <c r="F591" s="30" t="inlineStr">
        <is>
          <t>High</t>
        </is>
      </c>
      <c r="G591" s="30" t="inlineStr">
        <is>
          <t>High</t>
        </is>
      </c>
      <c r="H591" s="30" t="inlineStr">
        <is>
          <t>tietz.allison@american.edu</t>
        </is>
      </c>
      <c r="I591" s="30" t="inlineStr">
        <is>
          <t>2026-04-03</t>
        </is>
      </c>
      <c r="K591" s="30" t="inlineStr">
        <is>
          <t>NO</t>
        </is>
      </c>
      <c r="L591" s="30" t="inlineStr">
        <is>
          <t>New Lead</t>
        </is>
      </c>
      <c r="O591" s="30" t="inlineStr">
        <is>
          <t>Constructed email; statistical machine learning methods</t>
        </is>
      </c>
      <c r="P591" s="30" t="n">
        <v>2500</v>
      </c>
      <c r="Q591" s="30" t="n">
        <v>0</v>
      </c>
      <c r="R591" s="30">
        <f>IF(J591="","",TODAY()-DATE(LEFT(J591,4)*1,MID(J591,6,2)*1,RIGHT(J591,2)*1))</f>
        <v/>
      </c>
      <c r="S591" s="30" t="inlineStr">
        <is>
          <t>University Website</t>
        </is>
      </c>
    </row>
    <row r="592" ht="15" customHeight="1" s="31">
      <c r="A592" s="30" t="n">
        <v>590</v>
      </c>
      <c r="B592" s="30" t="inlineStr">
        <is>
          <t>Alice</t>
        </is>
      </c>
      <c r="C592" s="30" t="inlineStr">
        <is>
          <t>Cohen</t>
        </is>
      </c>
      <c r="D592" s="30" t="inlineStr">
        <is>
          <t>American University</t>
        </is>
      </c>
      <c r="E592" s="30" t="inlineStr">
        <is>
          <t>Psychology PhD</t>
        </is>
      </c>
      <c r="F592" s="30" t="inlineStr">
        <is>
          <t>High</t>
        </is>
      </c>
      <c r="G592" s="30" t="inlineStr">
        <is>
          <t>High</t>
        </is>
      </c>
      <c r="H592" s="30" t="inlineStr">
        <is>
          <t>cohen.alice@american.edu</t>
        </is>
      </c>
      <c r="I592" s="30" t="inlineStr">
        <is>
          <t>2026-04-03</t>
        </is>
      </c>
      <c r="K592" s="30" t="inlineStr">
        <is>
          <t>NO</t>
        </is>
      </c>
      <c r="L592" s="30" t="inlineStr">
        <is>
          <t>New Lead</t>
        </is>
      </c>
      <c r="O592" s="30" t="inlineStr">
        <is>
          <t>Constructed email; sleep, depression &amp; daily interpersonal processes</t>
        </is>
      </c>
      <c r="P592" s="30" t="n">
        <v>2500</v>
      </c>
      <c r="Q592" s="30" t="n">
        <v>0</v>
      </c>
      <c r="R592" s="30">
        <f>IF(J592="","",TODAY()-DATE(LEFT(J592,4)*1,MID(J592,6,2)*1,RIGHT(J592,2)*1))</f>
        <v/>
      </c>
      <c r="S592" s="30" t="inlineStr">
        <is>
          <t>University Website</t>
        </is>
      </c>
    </row>
    <row r="593" ht="15" customHeight="1" s="31">
      <c r="A593" s="30" t="n">
        <v>591</v>
      </c>
      <c r="B593" s="30" t="inlineStr">
        <is>
          <t>Jacob</t>
        </is>
      </c>
      <c r="C593" s="30" t="inlineStr">
        <is>
          <t>Gustaveson</t>
        </is>
      </c>
      <c r="D593" s="30" t="inlineStr">
        <is>
          <t>American University</t>
        </is>
      </c>
      <c r="E593" s="30" t="inlineStr">
        <is>
          <t>Psychology PhD</t>
        </is>
      </c>
      <c r="F593" s="30" t="inlineStr">
        <is>
          <t>High</t>
        </is>
      </c>
      <c r="G593" s="30" t="inlineStr">
        <is>
          <t>High</t>
        </is>
      </c>
      <c r="H593" s="30" t="inlineStr">
        <is>
          <t>gustaveson.jacob@american.edu</t>
        </is>
      </c>
      <c r="I593" s="30" t="inlineStr">
        <is>
          <t>2026-04-03</t>
        </is>
      </c>
      <c r="K593" s="30" t="inlineStr">
        <is>
          <t>NO</t>
        </is>
      </c>
      <c r="L593" s="30" t="inlineStr">
        <is>
          <t>New Lead</t>
        </is>
      </c>
      <c r="O593" s="30" t="inlineStr">
        <is>
          <t>Constructed email; integrated care program evaluation</t>
        </is>
      </c>
      <c r="P593" s="30" t="n">
        <v>2500</v>
      </c>
      <c r="Q593" s="30" t="n">
        <v>0</v>
      </c>
      <c r="R593" s="30">
        <f>IF(J593="","",TODAY()-DATE(LEFT(J593,4)*1,MID(J593,6,2)*1,RIGHT(J593,2)*1))</f>
        <v/>
      </c>
      <c r="S593" s="30" t="inlineStr">
        <is>
          <t>University Website</t>
        </is>
      </c>
    </row>
    <row r="594" ht="15" customHeight="1" s="31">
      <c r="A594" s="30" t="n">
        <v>592</v>
      </c>
      <c r="B594" s="30" t="inlineStr">
        <is>
          <t>Molly</t>
        </is>
      </c>
      <c r="C594" s="30" t="inlineStr">
        <is>
          <t>Nadel</t>
        </is>
      </c>
      <c r="D594" s="30" t="inlineStr">
        <is>
          <t>American University</t>
        </is>
      </c>
      <c r="E594" s="30" t="inlineStr">
        <is>
          <t>Psychology PhD</t>
        </is>
      </c>
      <c r="F594" s="30" t="inlineStr">
        <is>
          <t>High</t>
        </is>
      </c>
      <c r="G594" s="30" t="inlineStr">
        <is>
          <t>High</t>
        </is>
      </c>
      <c r="H594" s="30" t="inlineStr">
        <is>
          <t>nadel.molly@american.edu</t>
        </is>
      </c>
      <c r="I594" s="30" t="inlineStr">
        <is>
          <t>2026-04-03</t>
        </is>
      </c>
      <c r="K594" s="30" t="inlineStr">
        <is>
          <t>NO</t>
        </is>
      </c>
      <c r="L594" s="30" t="inlineStr">
        <is>
          <t>New Lead</t>
        </is>
      </c>
      <c r="O594" s="30" t="inlineStr">
        <is>
          <t>Constructed email; exposure therapy for anxiety &amp; OCD</t>
        </is>
      </c>
      <c r="P594" s="30" t="n">
        <v>2500</v>
      </c>
      <c r="Q594" s="30" t="n">
        <v>0</v>
      </c>
      <c r="R594" s="30">
        <f>IF(J594="","",TODAY()-DATE(LEFT(J594,4)*1,MID(J594,6,2)*1,RIGHT(J594,2)*1))</f>
        <v/>
      </c>
      <c r="S594" s="30" t="inlineStr">
        <is>
          <t>University Website</t>
        </is>
      </c>
    </row>
    <row r="595" ht="15" customHeight="1" s="31">
      <c r="A595" s="30" t="n">
        <v>593</v>
      </c>
      <c r="B595" s="30" t="inlineStr">
        <is>
          <t>Maria</t>
        </is>
      </c>
      <c r="C595" s="30" t="inlineStr">
        <is>
          <t>Abapolnikova</t>
        </is>
      </c>
      <c r="D595" s="30" t="inlineStr">
        <is>
          <t>American University</t>
        </is>
      </c>
      <c r="E595" s="30" t="inlineStr">
        <is>
          <t>Psychology PhD</t>
        </is>
      </c>
      <c r="F595" s="30" t="inlineStr">
        <is>
          <t>High</t>
        </is>
      </c>
      <c r="G595" s="30" t="inlineStr">
        <is>
          <t>High</t>
        </is>
      </c>
      <c r="H595" s="30" t="inlineStr">
        <is>
          <t>abapolnikova.maria@american.edu</t>
        </is>
      </c>
      <c r="I595" s="30" t="inlineStr">
        <is>
          <t>2026-04-03</t>
        </is>
      </c>
      <c r="K595" s="30" t="inlineStr">
        <is>
          <t>NO</t>
        </is>
      </c>
      <c r="L595" s="30" t="inlineStr">
        <is>
          <t>New Lead</t>
        </is>
      </c>
      <c r="O595" s="30" t="inlineStr">
        <is>
          <t>Constructed email; therapist effects &amp; alliance rupture repair</t>
        </is>
      </c>
      <c r="P595" s="30" t="n">
        <v>2500</v>
      </c>
      <c r="Q595" s="30" t="n">
        <v>0</v>
      </c>
      <c r="R595" s="30">
        <f>IF(J595="","",TODAY()-DATE(LEFT(J595,4)*1,MID(J595,6,2)*1,RIGHT(J595,2)*1))</f>
        <v/>
      </c>
      <c r="S595" s="30" t="inlineStr">
        <is>
          <t>University Website</t>
        </is>
      </c>
    </row>
    <row r="596" ht="15" customHeight="1" s="31">
      <c r="A596" s="30" t="n">
        <v>594</v>
      </c>
      <c r="B596" s="30" t="inlineStr">
        <is>
          <t>Arianna</t>
        </is>
      </c>
      <c r="C596" s="30" t="inlineStr">
        <is>
          <t>Cifone</t>
        </is>
      </c>
      <c r="D596" s="30" t="inlineStr">
        <is>
          <t>American University</t>
        </is>
      </c>
      <c r="E596" s="30" t="inlineStr">
        <is>
          <t>Psychology PhD</t>
        </is>
      </c>
      <c r="F596" s="30" t="inlineStr">
        <is>
          <t>High</t>
        </is>
      </c>
      <c r="G596" s="30" t="inlineStr">
        <is>
          <t>High</t>
        </is>
      </c>
      <c r="H596" s="30" t="inlineStr">
        <is>
          <t>cifone.arianna@american.edu</t>
        </is>
      </c>
      <c r="I596" s="30" t="inlineStr">
        <is>
          <t>2026-04-03</t>
        </is>
      </c>
      <c r="K596" s="30" t="inlineStr">
        <is>
          <t>NO</t>
        </is>
      </c>
      <c r="L596" s="30" t="inlineStr">
        <is>
          <t>New Lead</t>
        </is>
      </c>
      <c r="O596" s="30" t="inlineStr">
        <is>
          <t>Constructed email; client-clinician match &amp; intersectionality</t>
        </is>
      </c>
      <c r="P596" s="30" t="n">
        <v>2500</v>
      </c>
      <c r="Q596" s="30" t="n">
        <v>0</v>
      </c>
      <c r="R596" s="30">
        <f>IF(J596="","",TODAY()-DATE(LEFT(J596,4)*1,MID(J596,6,2)*1,RIGHT(J596,2)*1))</f>
        <v/>
      </c>
      <c r="S596" s="30" t="inlineStr">
        <is>
          <t>University Website</t>
        </is>
      </c>
    </row>
    <row r="597" ht="15" customHeight="1" s="31">
      <c r="A597" s="30" t="n">
        <v>595</v>
      </c>
      <c r="B597" s="30" t="inlineStr">
        <is>
          <t>Traci</t>
        </is>
      </c>
      <c r="C597" s="30" t="inlineStr">
        <is>
          <t>Wike</t>
        </is>
      </c>
      <c r="D597" s="30" t="inlineStr">
        <is>
          <t>Virginia Commonwealth University</t>
        </is>
      </c>
      <c r="E597" s="30" t="inlineStr">
        <is>
          <t>Program Director</t>
        </is>
      </c>
      <c r="F597" s="30" t="inlineStr">
        <is>
          <t>High</t>
        </is>
      </c>
      <c r="G597" s="30" t="inlineStr">
        <is>
          <t>High</t>
        </is>
      </c>
      <c r="H597" s="30" t="inlineStr">
        <is>
          <t>twike@vcu.edu</t>
        </is>
      </c>
      <c r="I597" s="30" t="inlineStr">
        <is>
          <t>2026-04-03</t>
        </is>
      </c>
      <c r="K597" s="30" t="inlineStr">
        <is>
          <t>NO</t>
        </is>
      </c>
      <c r="L597" s="30" t="inlineStr">
        <is>
          <t>New Lead</t>
        </is>
      </c>
      <c r="O597" s="30" t="inlineStr">
        <is>
          <t>PhD Program Director, School of Social Work. Referral target — ask to pass FAG info to dissertation-stage students.</t>
        </is>
      </c>
      <c r="P597" s="30" t="n">
        <v>10000</v>
      </c>
      <c r="Q597" s="30" t="n">
        <v>0</v>
      </c>
      <c r="R597" s="30">
        <f>IF(J597="","",TODAY()-DATE(LEFT(J597,4)*1,MID(J597,6,2)*1,RIGHT(J597,2)*1))</f>
        <v/>
      </c>
      <c r="S597" s="30" t="inlineStr">
        <is>
          <t>University Website</t>
        </is>
      </c>
    </row>
    <row r="598" ht="15" customHeight="1" s="31">
      <c r="A598" s="30" t="n">
        <v>596</v>
      </c>
      <c r="B598" s="30" t="inlineStr">
        <is>
          <t>Mitchell</t>
        </is>
      </c>
      <c r="C598" s="30" t="inlineStr">
        <is>
          <t>Knisely</t>
        </is>
      </c>
      <c r="D598" s="30" t="inlineStr">
        <is>
          <t>Duke University</t>
        </is>
      </c>
      <c r="E598" s="30" t="inlineStr">
        <is>
          <t>Program Director</t>
        </is>
      </c>
      <c r="F598" s="30" t="inlineStr">
        <is>
          <t>High</t>
        </is>
      </c>
      <c r="G598" s="30" t="inlineStr">
        <is>
          <t>High</t>
        </is>
      </c>
      <c r="H598" s="30" t="inlineStr">
        <is>
          <t>mitchell.knisely@duke.edu</t>
        </is>
      </c>
      <c r="I598" s="30" t="inlineStr">
        <is>
          <t>2026-04-03</t>
        </is>
      </c>
      <c r="K598" s="30" t="inlineStr">
        <is>
          <t>NO</t>
        </is>
      </c>
      <c r="L598" s="30" t="inlineStr">
        <is>
          <t>New Lead</t>
        </is>
      </c>
      <c r="O598" s="30" t="inlineStr">
        <is>
          <t>Asst. Dean &amp; PhD Program Director, School of Nursing. Referral target — ask to share FAG with current doctoral cohort. Research: sickle cell &amp; chronic pain.</t>
        </is>
      </c>
      <c r="P598" s="30" t="n">
        <v>10000</v>
      </c>
      <c r="Q598" s="30" t="n">
        <v>0</v>
      </c>
      <c r="R598" s="30">
        <f>IF(J598="","",TODAY()-DATE(LEFT(J598,4)*1,MID(J598,6,2)*1,RIGHT(J598,2)*1))</f>
        <v/>
      </c>
      <c r="S598" s="30" t="inlineStr">
        <is>
          <t>University Website</t>
        </is>
      </c>
    </row>
    <row r="599" ht="15" customHeight="1" s="31">
      <c r="A599" t="n">
        <v>597</v>
      </c>
      <c r="B599" t="inlineStr">
        <is>
          <t>Maddy</t>
        </is>
      </c>
      <c r="C599" t="inlineStr">
        <is>
          <t>Finkelstein</t>
        </is>
      </c>
      <c r="D599" t="inlineStr">
        <is>
          <t>Drexel University</t>
        </is>
      </c>
      <c r="E599" t="inlineStr">
        <is>
          <t>Public Health PhD</t>
        </is>
      </c>
      <c r="F599" t="inlineStr">
        <is>
          <t>High</t>
        </is>
      </c>
      <c r="G599" s="30" t="inlineStr">
        <is>
          <t>A</t>
        </is>
      </c>
      <c r="H599" t="inlineStr">
        <is>
          <t>maddy.finkelstein@drexel.edu</t>
        </is>
      </c>
      <c r="I599" t="inlineStr">
        <is>
          <t>2026-04-03</t>
        </is>
      </c>
      <c r="K599" s="30" t="n"/>
      <c r="L599" s="30" t="inlineStr">
        <is>
          <t>New Lead</t>
        </is>
      </c>
      <c r="O599" t="inlineStr">
        <is>
          <t>Dornsife SPH; email constructed</t>
        </is>
      </c>
      <c r="P599" t="n">
        <v>2500</v>
      </c>
      <c r="S599" t="inlineStr">
        <is>
          <t>University Website</t>
        </is>
      </c>
    </row>
    <row r="600" ht="15" customHeight="1" s="31">
      <c r="A600" t="n">
        <v>598</v>
      </c>
      <c r="B600" t="inlineStr">
        <is>
          <t>Bengucan</t>
        </is>
      </c>
      <c r="C600" t="inlineStr">
        <is>
          <t>Gunen</t>
        </is>
      </c>
      <c r="D600" t="inlineStr">
        <is>
          <t>Drexel University</t>
        </is>
      </c>
      <c r="E600" t="inlineStr">
        <is>
          <t>Public Health PhD</t>
        </is>
      </c>
      <c r="F600" t="inlineStr">
        <is>
          <t>High</t>
        </is>
      </c>
      <c r="G600" s="30" t="inlineStr">
        <is>
          <t>A</t>
        </is>
      </c>
      <c r="H600" t="inlineStr">
        <is>
          <t>bengucan.gunen@drexel.edu</t>
        </is>
      </c>
      <c r="I600" t="inlineStr">
        <is>
          <t>2026-04-03</t>
        </is>
      </c>
      <c r="K600" s="30" t="n"/>
      <c r="L600" s="30" t="inlineStr">
        <is>
          <t>New Lead</t>
        </is>
      </c>
      <c r="O600" t="inlineStr">
        <is>
          <t>CHP; ASN pre-doctoral fellow; email constructed</t>
        </is>
      </c>
      <c r="P600" t="n">
        <v>2500</v>
      </c>
      <c r="S600" t="inlineStr">
        <is>
          <t>University Website</t>
        </is>
      </c>
    </row>
    <row r="601" ht="15" customHeight="1" s="31">
      <c r="A601" t="n">
        <v>599</v>
      </c>
      <c r="B601" t="inlineStr">
        <is>
          <t>Patrick</t>
        </is>
      </c>
      <c r="C601" t="inlineStr">
        <is>
          <t>Smith</t>
        </is>
      </c>
      <c r="D601" t="inlineStr">
        <is>
          <t>Drexel University</t>
        </is>
      </c>
      <c r="E601" t="inlineStr">
        <is>
          <t>Public Health PhD</t>
        </is>
      </c>
      <c r="F601" t="inlineStr">
        <is>
          <t>High</t>
        </is>
      </c>
      <c r="G601" s="30" t="inlineStr">
        <is>
          <t>A</t>
        </is>
      </c>
      <c r="H601" t="inlineStr">
        <is>
          <t>patrick.smith@drexel.edu</t>
        </is>
      </c>
      <c r="I601" t="inlineStr">
        <is>
          <t>2026-04-03</t>
        </is>
      </c>
      <c r="K601" s="30" t="n"/>
      <c r="L601" s="30" t="inlineStr">
        <is>
          <t>New Lead</t>
        </is>
      </c>
      <c r="O601" t="inlineStr">
        <is>
          <t>CHP PhD '25; NHLBI NRSA fellow; email constructed</t>
        </is>
      </c>
      <c r="P601" t="n">
        <v>2500</v>
      </c>
      <c r="S601" t="inlineStr">
        <is>
          <t>University Website</t>
        </is>
      </c>
    </row>
    <row r="602" ht="15" customHeight="1" s="31">
      <c r="A602" t="n">
        <v>600</v>
      </c>
      <c r="B602" t="inlineStr">
        <is>
          <t>Kati</t>
        </is>
      </c>
      <c r="C602" t="inlineStr">
        <is>
          <t>Hinman</t>
        </is>
      </c>
      <c r="D602" t="inlineStr">
        <is>
          <t>Drexel University</t>
        </is>
      </c>
      <c r="E602" t="inlineStr">
        <is>
          <t>Public Health PhD</t>
        </is>
      </c>
      <c r="F602" t="inlineStr">
        <is>
          <t>High</t>
        </is>
      </c>
      <c r="G602" s="30" t="inlineStr">
        <is>
          <t>A</t>
        </is>
      </c>
      <c r="H602" t="inlineStr">
        <is>
          <t>kati.hinman@drexel.edu</t>
        </is>
      </c>
      <c r="I602" t="inlineStr">
        <is>
          <t>2026-04-03</t>
        </is>
      </c>
      <c r="K602" s="30" t="n"/>
      <c r="L602" s="30" t="inlineStr">
        <is>
          <t>New Lead</t>
        </is>
      </c>
      <c r="O602" t="inlineStr">
        <is>
          <t>CHP; Fulbright-Hays DDRA 2023-24; email constructed</t>
        </is>
      </c>
      <c r="P602" t="n">
        <v>2500</v>
      </c>
      <c r="S602" t="inlineStr">
        <is>
          <t>University Website</t>
        </is>
      </c>
    </row>
    <row r="603" ht="15" customHeight="1" s="31">
      <c r="A603" t="n">
        <v>601</v>
      </c>
      <c r="B603" t="inlineStr">
        <is>
          <t>Katherine</t>
        </is>
      </c>
      <c r="C603" t="inlineStr">
        <is>
          <t>Dilks-Webb</t>
        </is>
      </c>
      <c r="D603" t="inlineStr">
        <is>
          <t>Drexel University</t>
        </is>
      </c>
      <c r="E603" t="inlineStr">
        <is>
          <t>Nursing PhD</t>
        </is>
      </c>
      <c r="F603" t="inlineStr">
        <is>
          <t>High</t>
        </is>
      </c>
      <c r="G603" s="30" t="inlineStr">
        <is>
          <t>A</t>
        </is>
      </c>
      <c r="H603" t="inlineStr">
        <is>
          <t>katherine.dilks-webb@drexel.edu</t>
        </is>
      </c>
      <c r="I603" t="inlineStr">
        <is>
          <t>2026-04-03</t>
        </is>
      </c>
      <c r="K603" s="30" t="n"/>
      <c r="L603" s="30" t="inlineStr">
        <is>
          <t>New Lead</t>
        </is>
      </c>
      <c r="O603" t="inlineStr">
        <is>
          <t>CNHP; featured PhD research page; email constructed</t>
        </is>
      </c>
      <c r="P603" t="n">
        <v>2500</v>
      </c>
      <c r="S603" t="inlineStr">
        <is>
          <t>University Website</t>
        </is>
      </c>
    </row>
    <row r="604" ht="15" customHeight="1" s="31">
      <c r="A604" t="n">
        <v>602</v>
      </c>
      <c r="B604" t="inlineStr">
        <is>
          <t>Grant</t>
        </is>
      </c>
      <c r="C604" t="inlineStr">
        <is>
          <t>Morales</t>
        </is>
      </c>
      <c r="D604" t="inlineStr">
        <is>
          <t>Drexel University</t>
        </is>
      </c>
      <c r="E604" t="inlineStr">
        <is>
          <t>Nursing PhD</t>
        </is>
      </c>
      <c r="F604" t="inlineStr">
        <is>
          <t>High</t>
        </is>
      </c>
      <c r="G604" s="30" t="inlineStr">
        <is>
          <t>A</t>
        </is>
      </c>
      <c r="H604" t="inlineStr">
        <is>
          <t>grant.morales@drexel.edu</t>
        </is>
      </c>
      <c r="I604" t="inlineStr">
        <is>
          <t>2026-04-03</t>
        </is>
      </c>
      <c r="K604" s="30" t="n"/>
      <c r="L604" s="30" t="inlineStr">
        <is>
          <t>New Lead</t>
        </is>
      </c>
      <c r="O604" t="inlineStr">
        <is>
          <t>CNHP; email constructed</t>
        </is>
      </c>
      <c r="P604" t="n">
        <v>2500</v>
      </c>
      <c r="S604" t="inlineStr">
        <is>
          <t>University Website</t>
        </is>
      </c>
    </row>
    <row r="605" ht="15" customHeight="1" s="31">
      <c r="A605" t="n">
        <v>603</v>
      </c>
      <c r="B605" t="inlineStr">
        <is>
          <t>Elizabeth</t>
        </is>
      </c>
      <c r="C605" t="inlineStr">
        <is>
          <t>Euiler</t>
        </is>
      </c>
      <c r="D605" t="inlineStr">
        <is>
          <t>Drexel University</t>
        </is>
      </c>
      <c r="E605" t="inlineStr">
        <is>
          <t>Nursing PhD</t>
        </is>
      </c>
      <c r="F605" t="inlineStr">
        <is>
          <t>High</t>
        </is>
      </c>
      <c r="G605" s="30" t="inlineStr">
        <is>
          <t>A</t>
        </is>
      </c>
      <c r="H605" t="inlineStr">
        <is>
          <t>elizabeth.euiler@drexel.edu</t>
        </is>
      </c>
      <c r="I605" t="inlineStr">
        <is>
          <t>2026-04-03</t>
        </is>
      </c>
      <c r="K605" s="30" t="n"/>
      <c r="L605" s="30" t="inlineStr">
        <is>
          <t>New Lead</t>
        </is>
      </c>
      <c r="O605" t="inlineStr">
        <is>
          <t>CNHP; featured PhD research page; email constructed</t>
        </is>
      </c>
      <c r="P605" t="n">
        <v>2500</v>
      </c>
      <c r="S605" t="inlineStr">
        <is>
          <t>University Website</t>
        </is>
      </c>
    </row>
    <row r="606" ht="15" customHeight="1" s="31">
      <c r="A606" t="n">
        <v>604</v>
      </c>
      <c r="B606" t="inlineStr">
        <is>
          <t>Ana Lucia</t>
        </is>
      </c>
      <c r="C606" t="inlineStr">
        <is>
          <t>Peralta</t>
        </is>
      </c>
      <c r="D606" t="inlineStr">
        <is>
          <t>Drexel University</t>
        </is>
      </c>
      <c r="E606" t="inlineStr">
        <is>
          <t>Public Health PhD</t>
        </is>
      </c>
      <c r="F606" t="inlineStr">
        <is>
          <t>High</t>
        </is>
      </c>
      <c r="G606" s="30" t="inlineStr">
        <is>
          <t>A</t>
        </is>
      </c>
      <c r="H606" t="inlineStr">
        <is>
          <t>ana.peralta@drexel.edu</t>
        </is>
      </c>
      <c r="I606" t="inlineStr">
        <is>
          <t>2026-04-03</t>
        </is>
      </c>
      <c r="K606" s="30" t="n"/>
      <c r="L606" s="30" t="inlineStr">
        <is>
          <t>New Lead</t>
        </is>
      </c>
      <c r="O606" t="inlineStr">
        <is>
          <t>Epidemiology; Urban Health Collaborative; email constructed</t>
        </is>
      </c>
      <c r="P606" t="n">
        <v>2500</v>
      </c>
      <c r="S606" t="inlineStr">
        <is>
          <t>University Website</t>
        </is>
      </c>
    </row>
    <row r="607" ht="15" customHeight="1" s="31">
      <c r="A607" t="n">
        <v>605</v>
      </c>
      <c r="B607" t="inlineStr">
        <is>
          <t>Abbey</t>
        </is>
      </c>
      <c r="C607" t="inlineStr">
        <is>
          <t>Collins</t>
        </is>
      </c>
      <c r="D607" t="inlineStr">
        <is>
          <t>NC State University</t>
        </is>
      </c>
      <c r="E607" t="inlineStr">
        <is>
          <t>Psychology PhD</t>
        </is>
      </c>
      <c r="F607" t="inlineStr">
        <is>
          <t>High</t>
        </is>
      </c>
      <c r="G607" s="30" t="inlineStr">
        <is>
          <t>A</t>
        </is>
      </c>
      <c r="H607" t="inlineStr">
        <is>
          <t>abbey_collins@ncsu.edu</t>
        </is>
      </c>
      <c r="I607" t="inlineStr">
        <is>
          <t>2026-04-03</t>
        </is>
      </c>
      <c r="K607" s="30" t="n"/>
      <c r="L607" s="30" t="inlineStr">
        <is>
          <t>New Lead</t>
        </is>
      </c>
      <c r="O607" t="inlineStr">
        <is>
          <t>Applied Social &amp; Community Psych; Fall 2022; Black Health Lab; email constructed</t>
        </is>
      </c>
      <c r="P607" t="n">
        <v>2500</v>
      </c>
      <c r="S607" t="inlineStr">
        <is>
          <t>University Website</t>
        </is>
      </c>
    </row>
    <row r="608" ht="15" customHeight="1" s="31">
      <c r="A608" t="n">
        <v>606</v>
      </c>
      <c r="B608" t="inlineStr">
        <is>
          <t>Alexis</t>
        </is>
      </c>
      <c r="C608" t="inlineStr">
        <is>
          <t>Briggs</t>
        </is>
      </c>
      <c r="D608" t="inlineStr">
        <is>
          <t>NC State University</t>
        </is>
      </c>
      <c r="E608" t="inlineStr">
        <is>
          <t>Psychology PhD</t>
        </is>
      </c>
      <c r="F608" t="inlineStr">
        <is>
          <t>High</t>
        </is>
      </c>
      <c r="G608" s="30" t="inlineStr">
        <is>
          <t>A</t>
        </is>
      </c>
      <c r="H608" t="inlineStr">
        <is>
          <t>alexis_briggs@ncsu.edu</t>
        </is>
      </c>
      <c r="I608" t="inlineStr">
        <is>
          <t>2026-04-03</t>
        </is>
      </c>
      <c r="K608" s="30" t="n"/>
      <c r="L608" s="30" t="inlineStr">
        <is>
          <t>New Lead</t>
        </is>
      </c>
      <c r="O608" t="inlineStr">
        <is>
          <t>Applied Social &amp; Community Psych; Fall 2019; Hope Lab; email constructed</t>
        </is>
      </c>
      <c r="P608" t="n">
        <v>2500</v>
      </c>
      <c r="S608" t="inlineStr">
        <is>
          <t>University Website</t>
        </is>
      </c>
    </row>
    <row r="609" ht="15" customHeight="1" s="31">
      <c r="A609" t="n">
        <v>607</v>
      </c>
      <c r="B609" t="inlineStr">
        <is>
          <t>Fanice</t>
        </is>
      </c>
      <c r="C609" t="inlineStr">
        <is>
          <t>Thomas</t>
        </is>
      </c>
      <c r="D609" t="inlineStr">
        <is>
          <t>NC State University</t>
        </is>
      </c>
      <c r="E609" t="inlineStr">
        <is>
          <t>Psychology PhD</t>
        </is>
      </c>
      <c r="F609" t="inlineStr">
        <is>
          <t>High</t>
        </is>
      </c>
      <c r="G609" s="30" t="inlineStr">
        <is>
          <t>A</t>
        </is>
      </c>
      <c r="H609" t="inlineStr">
        <is>
          <t>fanice_thomas@ncsu.edu</t>
        </is>
      </c>
      <c r="I609" t="inlineStr">
        <is>
          <t>2026-04-03</t>
        </is>
      </c>
      <c r="K609" s="30" t="n"/>
      <c r="L609" s="30" t="inlineStr">
        <is>
          <t>New Lead</t>
        </is>
      </c>
      <c r="O609" t="inlineStr">
        <is>
          <t>Applied Social Psych; health policy fellowship; immigrant community health; email constructed</t>
        </is>
      </c>
      <c r="P609" t="n">
        <v>2500</v>
      </c>
      <c r="S609" t="inlineStr">
        <is>
          <t>University Website</t>
        </is>
      </c>
    </row>
    <row r="610" ht="15" customHeight="1" s="31">
      <c r="A610" t="n">
        <v>608</v>
      </c>
      <c r="B610" t="inlineStr">
        <is>
          <t>Courtney</t>
        </is>
      </c>
      <c r="C610" t="inlineStr">
        <is>
          <t>Wade</t>
        </is>
      </c>
      <c r="D610" t="inlineStr">
        <is>
          <t>NC State University</t>
        </is>
      </c>
      <c r="E610" t="inlineStr">
        <is>
          <t>Psychology PhD</t>
        </is>
      </c>
      <c r="F610" t="inlineStr">
        <is>
          <t>High</t>
        </is>
      </c>
      <c r="G610" s="30" t="inlineStr">
        <is>
          <t>A</t>
        </is>
      </c>
      <c r="H610" t="inlineStr">
        <is>
          <t>courtney_wade@ncsu.edu</t>
        </is>
      </c>
      <c r="I610" t="inlineStr">
        <is>
          <t>2026-04-03</t>
        </is>
      </c>
      <c r="K610" s="30" t="n"/>
      <c r="L610" s="30" t="inlineStr">
        <is>
          <t>New Lead</t>
        </is>
      </c>
      <c r="O610" t="inlineStr">
        <is>
          <t>Applied Social &amp; Community Psych; 2019; email constructed</t>
        </is>
      </c>
      <c r="P610" t="n">
        <v>2500</v>
      </c>
      <c r="S610" t="inlineStr">
        <is>
          <t>University Website</t>
        </is>
      </c>
    </row>
    <row r="611" ht="15" customHeight="1" s="31">
      <c r="A611" t="n">
        <v>609</v>
      </c>
      <c r="B611" t="inlineStr">
        <is>
          <t>Reyyan</t>
        </is>
      </c>
      <c r="C611" t="inlineStr">
        <is>
          <t>Can</t>
        </is>
      </c>
      <c r="D611" t="inlineStr">
        <is>
          <t>NC State University</t>
        </is>
      </c>
      <c r="E611" t="inlineStr">
        <is>
          <t>Psychology PhD</t>
        </is>
      </c>
      <c r="F611" t="inlineStr">
        <is>
          <t>High</t>
        </is>
      </c>
      <c r="G611" s="30" t="inlineStr">
        <is>
          <t>A</t>
        </is>
      </c>
      <c r="H611" t="inlineStr">
        <is>
          <t>reyyan_can@ncsu.edu</t>
        </is>
      </c>
      <c r="I611" t="inlineStr">
        <is>
          <t>2026-04-03</t>
        </is>
      </c>
      <c r="K611" s="30" t="n"/>
      <c r="L611" s="30" t="inlineStr">
        <is>
          <t>New Lead</t>
        </is>
      </c>
      <c r="O611" t="inlineStr">
        <is>
          <t>Lifespan Developmental; 4th year doctoral candidate; email constructed</t>
        </is>
      </c>
      <c r="P611" t="n">
        <v>2500</v>
      </c>
      <c r="S611" t="inlineStr">
        <is>
          <t>University Website</t>
        </is>
      </c>
    </row>
    <row r="612" ht="15" customHeight="1" s="31">
      <c r="A612" t="n">
        <v>610</v>
      </c>
      <c r="B612" t="inlineStr">
        <is>
          <t>Tehya</t>
        </is>
      </c>
      <c r="C612" t="inlineStr">
        <is>
          <t>Drummond</t>
        </is>
      </c>
      <c r="D612" t="inlineStr">
        <is>
          <t>University of Virginia</t>
        </is>
      </c>
      <c r="E612" t="inlineStr">
        <is>
          <t>Psychology PhD</t>
        </is>
      </c>
      <c r="F612" t="inlineStr">
        <is>
          <t>High</t>
        </is>
      </c>
      <c r="G612" s="30" t="inlineStr">
        <is>
          <t>A</t>
        </is>
      </c>
      <c r="H612" t="inlineStr">
        <is>
          <t>tehya.drummond@virginia.edu</t>
        </is>
      </c>
      <c r="I612" t="inlineStr">
        <is>
          <t>2026-04-03</t>
        </is>
      </c>
      <c r="K612" s="30" t="n"/>
      <c r="L612" s="30" t="inlineStr">
        <is>
          <t>New Lead</t>
        </is>
      </c>
      <c r="O612" t="inlineStr">
        <is>
          <t>Social Psych; NSF GRF 2025; interoception &amp; health disparities; email constructed</t>
        </is>
      </c>
      <c r="P612" t="n">
        <v>2500</v>
      </c>
      <c r="S612" t="inlineStr">
        <is>
          <t>University Website</t>
        </is>
      </c>
    </row>
    <row r="613" ht="15" customHeight="1" s="31">
      <c r="A613" t="n">
        <v>611</v>
      </c>
      <c r="B613" t="inlineStr">
        <is>
          <t>Alexandra</t>
        </is>
      </c>
      <c r="C613" t="inlineStr">
        <is>
          <t>Silverman</t>
        </is>
      </c>
      <c r="D613" t="inlineStr">
        <is>
          <t>University of Virginia</t>
        </is>
      </c>
      <c r="E613" t="inlineStr">
        <is>
          <t>Psychology PhD</t>
        </is>
      </c>
      <c r="F613" t="inlineStr">
        <is>
          <t>High</t>
        </is>
      </c>
      <c r="G613" s="30" t="inlineStr">
        <is>
          <t>A</t>
        </is>
      </c>
      <c r="H613" t="inlineStr">
        <is>
          <t>alexandra.silverman@virginia.edu</t>
        </is>
      </c>
      <c r="I613" t="inlineStr">
        <is>
          <t>2026-04-03</t>
        </is>
      </c>
      <c r="K613" s="30" t="n"/>
      <c r="L613" s="30" t="inlineStr">
        <is>
          <t>New Lead</t>
        </is>
      </c>
      <c r="O613" t="inlineStr">
        <is>
          <t>Psych PhD; DGTA 2023; eHealth research; email constructed</t>
        </is>
      </c>
      <c r="P613" t="n">
        <v>2500</v>
      </c>
      <c r="S613" t="inlineStr">
        <is>
          <t>University Website</t>
        </is>
      </c>
    </row>
    <row r="614" ht="15" customHeight="1" s="31">
      <c r="A614" t="n">
        <v>612</v>
      </c>
      <c r="B614" t="inlineStr">
        <is>
          <t>Xavier</t>
        </is>
      </c>
      <c r="C614" t="inlineStr">
        <is>
          <t>Elzie</t>
        </is>
      </c>
      <c r="D614" t="inlineStr">
        <is>
          <t>University of Virginia</t>
        </is>
      </c>
      <c r="E614" t="inlineStr">
        <is>
          <t>Psychology PhD</t>
        </is>
      </c>
      <c r="F614" t="inlineStr">
        <is>
          <t>High</t>
        </is>
      </c>
      <c r="G614" s="30" t="inlineStr">
        <is>
          <t>A</t>
        </is>
      </c>
      <c r="H614" t="inlineStr">
        <is>
          <t>xavier.elzie@virginia.edu</t>
        </is>
      </c>
      <c r="I614" t="inlineStr">
        <is>
          <t>2026-04-03</t>
        </is>
      </c>
      <c r="K614" s="30" t="n"/>
      <c r="L614" s="30" t="inlineStr">
        <is>
          <t>New Lead</t>
        </is>
      </c>
      <c r="O614" t="inlineStr">
        <is>
          <t>Clinical/School Psych; family &amp; child development; grant recipient; email constructed</t>
        </is>
      </c>
      <c r="P614" t="n">
        <v>2500</v>
      </c>
      <c r="S614" t="inlineStr">
        <is>
          <t>University Website</t>
        </is>
      </c>
    </row>
    <row r="615" ht="15" customHeight="1" s="31">
      <c r="A615" t="n">
        <v>613</v>
      </c>
      <c r="B615" t="inlineStr">
        <is>
          <t>Emily</t>
        </is>
      </c>
      <c r="C615" t="inlineStr">
        <is>
          <t>Battaglia</t>
        </is>
      </c>
      <c r="D615" t="inlineStr">
        <is>
          <t>Villanova University</t>
        </is>
      </c>
      <c r="E615" t="inlineStr">
        <is>
          <t>Nursing PhD</t>
        </is>
      </c>
      <c r="F615" t="inlineStr">
        <is>
          <t>High</t>
        </is>
      </c>
      <c r="G615" s="30" t="inlineStr">
        <is>
          <t>A</t>
        </is>
      </c>
      <c r="H615" t="inlineStr">
        <is>
          <t>emily.battaglia@villanova.edu</t>
        </is>
      </c>
      <c r="I615" t="inlineStr">
        <is>
          <t>2026-04-03</t>
        </is>
      </c>
      <c r="K615" s="30" t="n"/>
      <c r="L615" s="30" t="inlineStr">
        <is>
          <t>New Lead</t>
        </is>
      </c>
      <c r="O615" t="inlineStr">
        <is>
          <t>Defended March 2024 (#124); adolescent e-cigarette use; email constructed</t>
        </is>
      </c>
      <c r="P615" t="n">
        <v>2500</v>
      </c>
      <c r="S615" t="inlineStr">
        <is>
          <t>University Website</t>
        </is>
      </c>
    </row>
    <row r="616" ht="15" customHeight="1" s="31">
      <c r="A616" t="n">
        <v>614</v>
      </c>
      <c r="B616" t="inlineStr">
        <is>
          <t>Jennifer</t>
        </is>
      </c>
      <c r="C616" t="inlineStr">
        <is>
          <t>Siebert</t>
        </is>
      </c>
      <c r="D616" t="inlineStr">
        <is>
          <t>Villanova University</t>
        </is>
      </c>
      <c r="E616" t="inlineStr">
        <is>
          <t>Nursing PhD</t>
        </is>
      </c>
      <c r="F616" t="inlineStr">
        <is>
          <t>High</t>
        </is>
      </c>
      <c r="G616" s="30" t="inlineStr">
        <is>
          <t>A</t>
        </is>
      </c>
      <c r="H616" t="inlineStr">
        <is>
          <t>jennifer.siebert@villanova.edu</t>
        </is>
      </c>
      <c r="I616" t="inlineStr">
        <is>
          <t>2026-04-03</t>
        </is>
      </c>
      <c r="K616" s="30" t="n"/>
      <c r="L616" s="30" t="inlineStr">
        <is>
          <t>New Lead</t>
        </is>
      </c>
      <c r="O616" t="inlineStr">
        <is>
          <t>Recent defender; heart transplantation outcomes; email constructed</t>
        </is>
      </c>
      <c r="P616" t="n">
        <v>2500</v>
      </c>
      <c r="S616" t="inlineStr">
        <is>
          <t>University Website</t>
        </is>
      </c>
    </row>
    <row r="617" ht="15" customHeight="1" s="31">
      <c r="A617" t="n">
        <v>615</v>
      </c>
      <c r="B617" t="inlineStr">
        <is>
          <t>Jennifer</t>
        </is>
      </c>
      <c r="C617" t="inlineStr">
        <is>
          <t>Durning</t>
        </is>
      </c>
      <c r="D617" t="inlineStr">
        <is>
          <t>Villanova University</t>
        </is>
      </c>
      <c r="E617" t="inlineStr">
        <is>
          <t>Nursing PhD</t>
        </is>
      </c>
      <c r="F617" t="inlineStr">
        <is>
          <t>High</t>
        </is>
      </c>
      <c r="G617" s="30" t="inlineStr">
        <is>
          <t>A</t>
        </is>
      </c>
      <c r="H617" t="inlineStr">
        <is>
          <t>jennifer.durning@villanova.edu</t>
        </is>
      </c>
      <c r="I617" t="inlineStr">
        <is>
          <t>2026-04-03</t>
        </is>
      </c>
      <c r="K617" s="30" t="n"/>
      <c r="L617" s="30" t="inlineStr">
        <is>
          <t>New Lead</t>
        </is>
      </c>
      <c r="O617" t="inlineStr">
        <is>
          <t>Defended March 2024 (#125); urban Dominican American adolescent health; email constructed</t>
        </is>
      </c>
      <c r="P617" t="n">
        <v>2500</v>
      </c>
      <c r="S617" t="inlineStr">
        <is>
          <t>University Website</t>
        </is>
      </c>
    </row>
    <row r="618" ht="15" customHeight="1" s="31">
      <c r="A618" t="n">
        <v>616</v>
      </c>
      <c r="B618" t="inlineStr">
        <is>
          <t>Gwendolyn</t>
        </is>
      </c>
      <c r="C618" t="inlineStr">
        <is>
          <t>Morris</t>
        </is>
      </c>
      <c r="D618" t="inlineStr">
        <is>
          <t>Villanova University</t>
        </is>
      </c>
      <c r="E618" t="inlineStr">
        <is>
          <t>Nursing PhD</t>
        </is>
      </c>
      <c r="F618" t="inlineStr">
        <is>
          <t>High</t>
        </is>
      </c>
      <c r="G618" s="30" t="inlineStr">
        <is>
          <t>A</t>
        </is>
      </c>
      <c r="H618" t="inlineStr">
        <is>
          <t>gwendolyn.morris@villanova.edu</t>
        </is>
      </c>
      <c r="I618" t="inlineStr">
        <is>
          <t>2026-04-03</t>
        </is>
      </c>
      <c r="K618" s="30" t="n"/>
      <c r="L618" s="30" t="inlineStr">
        <is>
          <t>New Lead</t>
        </is>
      </c>
      <c r="O618" t="inlineStr">
        <is>
          <t>PMHNP telemental health post-COVID; email constructed</t>
        </is>
      </c>
      <c r="P618" t="n">
        <v>2500</v>
      </c>
      <c r="S618" t="inlineStr">
        <is>
          <t>University Website</t>
        </is>
      </c>
    </row>
    <row r="619" ht="15" customHeight="1" s="31">
      <c r="A619" t="n">
        <v>617</v>
      </c>
      <c r="B619" t="inlineStr">
        <is>
          <t>Mollie</t>
        </is>
      </c>
      <c r="C619" t="inlineStr">
        <is>
          <t>Ostick</t>
        </is>
      </c>
      <c r="D619" t="inlineStr">
        <is>
          <t>Villanova University</t>
        </is>
      </c>
      <c r="E619" t="inlineStr">
        <is>
          <t>Nursing PhD</t>
        </is>
      </c>
      <c r="F619" t="inlineStr">
        <is>
          <t>High</t>
        </is>
      </c>
      <c r="G619" s="30" t="inlineStr">
        <is>
          <t>A</t>
        </is>
      </c>
      <c r="H619" t="inlineStr">
        <is>
          <t>mollie.ostick@villanova.edu</t>
        </is>
      </c>
      <c r="I619" t="inlineStr">
        <is>
          <t>2026-04-03</t>
        </is>
      </c>
      <c r="K619" s="30" t="n"/>
      <c r="L619" s="30" t="inlineStr">
        <is>
          <t>New Lead</t>
        </is>
      </c>
      <c r="O619" t="inlineStr">
        <is>
          <t>Generative AI chatbots in nursing education; email constructed</t>
        </is>
      </c>
      <c r="P619" t="n">
        <v>2500</v>
      </c>
      <c r="S619" t="inlineStr">
        <is>
          <t>University Website</t>
        </is>
      </c>
    </row>
    <row r="620" ht="15" customHeight="1" s="31">
      <c r="A620" t="n">
        <v>618</v>
      </c>
      <c r="B620" t="inlineStr">
        <is>
          <t>Kendra</t>
        </is>
      </c>
      <c r="C620" t="inlineStr">
        <is>
          <t>Duran</t>
        </is>
      </c>
      <c r="D620" t="inlineStr">
        <is>
          <t>Villanova University</t>
        </is>
      </c>
      <c r="E620" t="inlineStr">
        <is>
          <t>Nursing PhD</t>
        </is>
      </c>
      <c r="F620" t="inlineStr">
        <is>
          <t>High</t>
        </is>
      </c>
      <c r="G620" s="30" t="inlineStr">
        <is>
          <t>A</t>
        </is>
      </c>
      <c r="H620" t="inlineStr">
        <is>
          <t>kendra.duran@villanova.edu</t>
        </is>
      </c>
      <c r="I620" t="inlineStr">
        <is>
          <t>2026-04-03</t>
        </is>
      </c>
      <c r="K620" s="30" t="n"/>
      <c r="L620" s="30" t="inlineStr">
        <is>
          <t>New Lead</t>
        </is>
      </c>
      <c r="O620" t="inlineStr">
        <is>
          <t>Heart failure readmission rates; email constructed</t>
        </is>
      </c>
      <c r="P620" t="n">
        <v>2500</v>
      </c>
      <c r="S620" t="inlineStr">
        <is>
          <t>University Website</t>
        </is>
      </c>
    </row>
    <row r="621" ht="15" customHeight="1" s="31">
      <c r="A621" t="n">
        <v>619</v>
      </c>
      <c r="B621" t="inlineStr">
        <is>
          <t>Tanya</t>
        </is>
      </c>
      <c r="C621" t="inlineStr">
        <is>
          <t>Carmichael</t>
        </is>
      </c>
      <c r="D621" t="inlineStr">
        <is>
          <t>Villanova University</t>
        </is>
      </c>
      <c r="E621" t="inlineStr">
        <is>
          <t>Nursing PhD</t>
        </is>
      </c>
      <c r="F621" t="inlineStr">
        <is>
          <t>High</t>
        </is>
      </c>
      <c r="G621" s="30" t="inlineStr">
        <is>
          <t>A</t>
        </is>
      </c>
      <c r="H621" t="inlineStr">
        <is>
          <t>tanya.carmichael@villanova.edu</t>
        </is>
      </c>
      <c r="I621" t="inlineStr">
        <is>
          <t>2026-04-03</t>
        </is>
      </c>
      <c r="K621" s="30" t="n"/>
      <c r="L621" s="30" t="inlineStr">
        <is>
          <t>New Lead</t>
        </is>
      </c>
      <c r="O621" t="inlineStr">
        <is>
          <t>2023 grad; transgender patient care education; email constructed</t>
        </is>
      </c>
      <c r="P621" t="n">
        <v>2500</v>
      </c>
      <c r="S621" t="inlineStr">
        <is>
          <t>University Website</t>
        </is>
      </c>
    </row>
    <row r="622" ht="15" customHeight="1" s="31">
      <c r="A622" t="n">
        <v>620</v>
      </c>
      <c r="B622" t="inlineStr">
        <is>
          <t>Suzanne</t>
        </is>
      </c>
      <c r="C622" t="inlineStr">
        <is>
          <t>Ariza</t>
        </is>
      </c>
      <c r="D622" t="inlineStr">
        <is>
          <t>Villanova University</t>
        </is>
      </c>
      <c r="E622" t="inlineStr">
        <is>
          <t>Nursing PhD</t>
        </is>
      </c>
      <c r="F622" t="inlineStr">
        <is>
          <t>High</t>
        </is>
      </c>
      <c r="G622" s="30" t="inlineStr">
        <is>
          <t>A</t>
        </is>
      </c>
      <c r="H622" t="inlineStr">
        <is>
          <t>suzanne.ariza@villanova.edu</t>
        </is>
      </c>
      <c r="I622" t="inlineStr">
        <is>
          <t>2026-04-03</t>
        </is>
      </c>
      <c r="K622" s="30" t="n"/>
      <c r="L622" s="30" t="inlineStr">
        <is>
          <t>New Lead</t>
        </is>
      </c>
      <c r="O622" t="inlineStr">
        <is>
          <t>CRNA nonsurgical pain management; email constructed</t>
        </is>
      </c>
      <c r="P622" t="n">
        <v>2500</v>
      </c>
      <c r="S622" t="inlineStr">
        <is>
          <t>University Website</t>
        </is>
      </c>
    </row>
    <row r="623" ht="15" customHeight="1" s="31">
      <c r="A623" t="n">
        <v>621</v>
      </c>
      <c r="B623" t="inlineStr">
        <is>
          <t>Lara</t>
        </is>
      </c>
      <c r="C623" t="inlineStr">
        <is>
          <t>Ratliff</t>
        </is>
      </c>
      <c r="D623" t="inlineStr">
        <is>
          <t>Villanova University</t>
        </is>
      </c>
      <c r="E623" t="inlineStr">
        <is>
          <t>Nursing PhD</t>
        </is>
      </c>
      <c r="F623" t="inlineStr">
        <is>
          <t>High</t>
        </is>
      </c>
      <c r="G623" s="30" t="inlineStr">
        <is>
          <t>A</t>
        </is>
      </c>
      <c r="H623" t="inlineStr">
        <is>
          <t>lara.ratliff@villanova.edu</t>
        </is>
      </c>
      <c r="I623" t="inlineStr">
        <is>
          <t>2026-04-03</t>
        </is>
      </c>
      <c r="K623" s="30" t="n"/>
      <c r="L623" s="30" t="inlineStr">
        <is>
          <t>New Lead</t>
        </is>
      </c>
      <c r="O623" t="inlineStr">
        <is>
          <t>IPV, maternal depression &amp; geography; email constructed</t>
        </is>
      </c>
      <c r="P623" t="n">
        <v>2500</v>
      </c>
      <c r="S623" t="inlineStr">
        <is>
          <t>University Website</t>
        </is>
      </c>
    </row>
    <row r="624" ht="15" customHeight="1" s="31">
      <c r="A624" t="n">
        <v>622</v>
      </c>
      <c r="B624" t="inlineStr">
        <is>
          <t>Kristen</t>
        </is>
      </c>
      <c r="C624" t="inlineStr">
        <is>
          <t>Oakley</t>
        </is>
      </c>
      <c r="D624" t="inlineStr">
        <is>
          <t>Villanova University</t>
        </is>
      </c>
      <c r="E624" t="inlineStr">
        <is>
          <t>Nursing PhD</t>
        </is>
      </c>
      <c r="F624" t="inlineStr">
        <is>
          <t>High</t>
        </is>
      </c>
      <c r="G624" s="30" t="inlineStr">
        <is>
          <t>A</t>
        </is>
      </c>
      <c r="H624" t="inlineStr">
        <is>
          <t>kristen.oakley@villanova.edu</t>
        </is>
      </c>
      <c r="I624" t="inlineStr">
        <is>
          <t>2026-04-03</t>
        </is>
      </c>
      <c r="K624" s="30" t="n"/>
      <c r="L624" s="30" t="inlineStr">
        <is>
          <t>New Lead</t>
        </is>
      </c>
      <c r="O624" t="inlineStr">
        <is>
          <t>Secondary traumatic stress in BSN students; email constructed</t>
        </is>
      </c>
      <c r="P624" t="n">
        <v>2500</v>
      </c>
      <c r="S624" t="inlineStr">
        <is>
          <t>University Website</t>
        </is>
      </c>
    </row>
    <row r="625" ht="15" customHeight="1" s="31">
      <c r="A625" t="n">
        <v>623</v>
      </c>
      <c r="B625" t="inlineStr">
        <is>
          <t>Alana</t>
        </is>
      </c>
      <c r="C625" t="inlineStr">
        <is>
          <t>Levine</t>
        </is>
      </c>
      <c r="D625" t="inlineStr">
        <is>
          <t>Loyola University Maryland</t>
        </is>
      </c>
      <c r="E625" t="inlineStr">
        <is>
          <t>Psychology PhD</t>
        </is>
      </c>
      <c r="F625" t="inlineStr">
        <is>
          <t>High</t>
        </is>
      </c>
      <c r="G625" s="30" t="inlineStr">
        <is>
          <t>A</t>
        </is>
      </c>
      <c r="H625" t="inlineStr">
        <is>
          <t>alana.levine@loyola.edu</t>
        </is>
      </c>
      <c r="I625" t="inlineStr">
        <is>
          <t>2026-04-03</t>
        </is>
      </c>
      <c r="K625" s="30" t="n"/>
      <c r="L625" s="30" t="inlineStr">
        <is>
          <t>New Lead</t>
        </is>
      </c>
      <c r="O625" t="inlineStr">
        <is>
          <t>Clinical Psych PsyD student; current; email constructed</t>
        </is>
      </c>
      <c r="P625" t="n">
        <v>2500</v>
      </c>
      <c r="S625" t="inlineStr">
        <is>
          <t>University Website</t>
        </is>
      </c>
    </row>
    <row r="626" ht="15" customHeight="1" s="31">
      <c r="A626" t="n">
        <v>624</v>
      </c>
      <c r="B626" t="inlineStr">
        <is>
          <t>Audrey</t>
        </is>
      </c>
      <c r="C626" t="inlineStr">
        <is>
          <t>Davis</t>
        </is>
      </c>
      <c r="D626" t="inlineStr">
        <is>
          <t>Loyola University Maryland</t>
        </is>
      </c>
      <c r="E626" t="inlineStr">
        <is>
          <t>Psychology PhD</t>
        </is>
      </c>
      <c r="F626" t="inlineStr">
        <is>
          <t>High</t>
        </is>
      </c>
      <c r="G626" s="30" t="inlineStr">
        <is>
          <t>A</t>
        </is>
      </c>
      <c r="H626" t="inlineStr">
        <is>
          <t>audrey.davis@loyola.edu</t>
        </is>
      </c>
      <c r="I626" t="inlineStr">
        <is>
          <t>2026-04-03</t>
        </is>
      </c>
      <c r="K626" s="30" t="n"/>
      <c r="L626" s="30" t="inlineStr">
        <is>
          <t>New Lead</t>
        </is>
      </c>
      <c r="O626" t="inlineStr">
        <is>
          <t>2nd year Clinical Psych PsyD; current; email constructed</t>
        </is>
      </c>
      <c r="P626" t="n">
        <v>2500</v>
      </c>
      <c r="S626" t="inlineStr">
        <is>
          <t>University Website</t>
        </is>
      </c>
    </row>
    <row r="627" ht="15" customHeight="1" s="31">
      <c r="A627" t="n">
        <v>625</v>
      </c>
      <c r="B627" t="inlineStr">
        <is>
          <t>Jason</t>
        </is>
      </c>
      <c r="C627" t="inlineStr">
        <is>
          <t>Dufour</t>
        </is>
      </c>
      <c r="D627" t="inlineStr">
        <is>
          <t>Loyola University Maryland</t>
        </is>
      </c>
      <c r="E627" t="inlineStr">
        <is>
          <t>Psychology PhD</t>
        </is>
      </c>
      <c r="F627" t="inlineStr">
        <is>
          <t>High</t>
        </is>
      </c>
      <c r="G627" s="30" t="inlineStr">
        <is>
          <t>A</t>
        </is>
      </c>
      <c r="H627" t="inlineStr">
        <is>
          <t>jason.dufour@loyola.edu</t>
        </is>
      </c>
      <c r="I627" t="inlineStr">
        <is>
          <t>2026-04-03</t>
        </is>
      </c>
      <c r="K627" s="30" t="n"/>
      <c r="L627" s="30" t="inlineStr">
        <is>
          <t>New Lead</t>
        </is>
      </c>
      <c r="O627" t="inlineStr">
        <is>
          <t>Clinical Psych PsyD student; current; email constructed</t>
        </is>
      </c>
      <c r="P627" t="n">
        <v>2500</v>
      </c>
      <c r="S627" t="inlineStr">
        <is>
          <t>University Website</t>
        </is>
      </c>
    </row>
    <row r="628" ht="15" customHeight="1" s="31">
      <c r="A628" t="n">
        <v>626</v>
      </c>
      <c r="B628" t="inlineStr">
        <is>
          <t>Patricia</t>
        </is>
      </c>
      <c r="C628" t="inlineStr">
        <is>
          <t>Buzelli</t>
        </is>
      </c>
      <c r="D628" t="inlineStr">
        <is>
          <t>Duke University</t>
        </is>
      </c>
      <c r="E628" t="inlineStr">
        <is>
          <t>Nursing PhD</t>
        </is>
      </c>
      <c r="F628" t="inlineStr">
        <is>
          <t>High</t>
        </is>
      </c>
      <c r="G628" s="30" t="inlineStr">
        <is>
          <t>A</t>
        </is>
      </c>
      <c r="H628" t="inlineStr">
        <is>
          <t>patricia.buzelli@duke.edu</t>
        </is>
      </c>
      <c r="I628" t="inlineStr">
        <is>
          <t>2026-04-03</t>
        </is>
      </c>
      <c r="K628" s="30" t="n"/>
      <c r="L628" s="30" t="inlineStr">
        <is>
          <t>New Lead</t>
        </is>
      </c>
      <c r="O628" t="inlineStr">
        <is>
          <t>Transgender/gender-diverse acute care; rural Appalachia; Jonas Scholar; email constructed</t>
        </is>
      </c>
      <c r="P628" t="n">
        <v>2500</v>
      </c>
      <c r="S628" t="inlineStr">
        <is>
          <t>University Website</t>
        </is>
      </c>
    </row>
    <row r="629" ht="15" customHeight="1" s="31">
      <c r="G629" s="30" t="n"/>
      <c r="K629" s="30" t="n"/>
      <c r="L629" s="30" t="n"/>
    </row>
    <row r="630" ht="15" customHeight="1" s="31">
      <c r="G630" s="30" t="n"/>
      <c r="K630" s="30" t="n"/>
      <c r="L630" s="30" t="n"/>
    </row>
    <row r="631" ht="15" customHeight="1" s="31">
      <c r="G631" s="30" t="n"/>
      <c r="K631" s="30" t="n"/>
      <c r="L631" s="30" t="n"/>
    </row>
    <row r="632" ht="15" customHeight="1" s="31">
      <c r="G632" s="30" t="n"/>
      <c r="K632" s="30" t="n"/>
      <c r="L632" s="30" t="n"/>
    </row>
    <row r="633" ht="15" customHeight="1" s="31">
      <c r="G633" s="30" t="n"/>
      <c r="K633" s="30" t="n"/>
      <c r="L633" s="30" t="n"/>
    </row>
    <row r="634" ht="15" customHeight="1" s="31">
      <c r="G634" s="30" t="n"/>
      <c r="K634" s="30" t="n"/>
      <c r="L634" s="30" t="n"/>
    </row>
    <row r="635" ht="15" customHeight="1" s="31">
      <c r="G635" s="30" t="n"/>
      <c r="K635" s="30" t="n"/>
      <c r="L635" s="30" t="n"/>
    </row>
    <row r="636" ht="15" customHeight="1" s="31">
      <c r="G636" s="30" t="n"/>
      <c r="K636" s="30" t="n"/>
      <c r="L636" s="30" t="n"/>
    </row>
    <row r="637" ht="15" customHeight="1" s="31">
      <c r="G637" s="30" t="n"/>
      <c r="K637" s="30" t="n"/>
      <c r="L637" s="30" t="n"/>
    </row>
    <row r="638" ht="15" customHeight="1" s="31">
      <c r="G638" s="30" t="n"/>
      <c r="K638" s="30" t="n"/>
      <c r="L638" s="30" t="n"/>
    </row>
    <row r="639" ht="15" customHeight="1" s="31">
      <c r="G639" s="30" t="n"/>
      <c r="K639" s="30" t="n"/>
      <c r="L639" s="30" t="n"/>
    </row>
    <row r="640" ht="15" customHeight="1" s="31">
      <c r="G640" s="30" t="n"/>
      <c r="K640" s="30" t="n"/>
      <c r="L640" s="30" t="n"/>
    </row>
    <row r="641" ht="15" customHeight="1" s="31">
      <c r="G641" s="30" t="n"/>
      <c r="K641" s="30" t="n"/>
      <c r="L641" s="30" t="n"/>
    </row>
    <row r="642" ht="15" customHeight="1" s="31">
      <c r="G642" s="30" t="n"/>
      <c r="K642" s="30" t="n"/>
      <c r="L642" s="30" t="n"/>
    </row>
    <row r="643" ht="15" customHeight="1" s="31">
      <c r="G643" s="30" t="n"/>
      <c r="K643" s="30" t="n"/>
      <c r="L643" s="30" t="n"/>
    </row>
    <row r="644" ht="15" customHeight="1" s="31">
      <c r="G644" s="30" t="n"/>
      <c r="K644" s="30" t="n"/>
      <c r="L644" s="30" t="n"/>
    </row>
    <row r="645" ht="15" customHeight="1" s="31">
      <c r="G645" s="30" t="n"/>
      <c r="K645" s="30" t="n"/>
      <c r="L645" s="30" t="n"/>
    </row>
    <row r="646" ht="15" customHeight="1" s="31">
      <c r="G646" s="30" t="n"/>
      <c r="K646" s="30" t="n"/>
      <c r="L646" s="30" t="n"/>
    </row>
    <row r="647" ht="15" customHeight="1" s="31">
      <c r="G647" s="30" t="n"/>
      <c r="K647" s="30" t="n"/>
      <c r="L647" s="30" t="n"/>
    </row>
    <row r="648" ht="15" customHeight="1" s="31">
      <c r="G648" s="30" t="n"/>
      <c r="K648" s="30" t="n"/>
      <c r="L648" s="30" t="n"/>
    </row>
    <row r="649" ht="15" customHeight="1" s="31">
      <c r="G649" s="30" t="n"/>
      <c r="K649" s="30" t="n"/>
      <c r="L649" s="30" t="n"/>
    </row>
    <row r="650" ht="15" customHeight="1" s="31">
      <c r="G650" s="30" t="n"/>
      <c r="K650" s="30" t="n"/>
      <c r="L650" s="30" t="n"/>
    </row>
    <row r="651" ht="15" customHeight="1" s="31">
      <c r="G651" s="30" t="n"/>
      <c r="K651" s="30" t="n"/>
      <c r="L651" s="30" t="n"/>
    </row>
    <row r="652" ht="15" customHeight="1" s="31">
      <c r="G652" s="30" t="n"/>
      <c r="K652" s="30" t="n"/>
      <c r="L652" s="30" t="n"/>
    </row>
    <row r="653" ht="15" customHeight="1" s="31">
      <c r="G653" s="30" t="n"/>
      <c r="K653" s="30" t="n"/>
      <c r="L653" s="30" t="n"/>
    </row>
    <row r="654" ht="15" customHeight="1" s="31">
      <c r="G654" s="30" t="n"/>
      <c r="K654" s="30" t="n"/>
      <c r="L654" s="30" t="n"/>
    </row>
    <row r="655" ht="15" customHeight="1" s="31">
      <c r="G655" s="30" t="n"/>
      <c r="K655" s="30" t="n"/>
      <c r="L655" s="30" t="n"/>
    </row>
    <row r="656" ht="15" customHeight="1" s="31">
      <c r="G656" s="30" t="n"/>
      <c r="K656" s="30" t="n"/>
      <c r="L656" s="30" t="n"/>
    </row>
    <row r="657" ht="15" customHeight="1" s="31">
      <c r="G657" s="30" t="n"/>
      <c r="K657" s="30" t="n"/>
      <c r="L657" s="30" t="n"/>
    </row>
    <row r="658" ht="15" customHeight="1" s="31">
      <c r="G658" s="30" t="n"/>
      <c r="K658" s="30" t="n"/>
      <c r="L658" s="30" t="n"/>
    </row>
    <row r="659" ht="15" customHeight="1" s="31">
      <c r="G659" s="30" t="n"/>
      <c r="K659" s="30" t="n"/>
      <c r="L659" s="30" t="n"/>
    </row>
    <row r="660" ht="15" customHeight="1" s="31">
      <c r="G660" s="30" t="n"/>
      <c r="K660" s="30" t="n"/>
      <c r="L660" s="30" t="n"/>
    </row>
    <row r="661" ht="15" customHeight="1" s="31">
      <c r="G661" s="30" t="n"/>
      <c r="K661" s="30" t="n"/>
      <c r="L661" s="30" t="n"/>
    </row>
    <row r="662" ht="15" customHeight="1" s="31">
      <c r="G662" s="30" t="n"/>
      <c r="K662" s="30" t="n"/>
      <c r="L662" s="30" t="n"/>
    </row>
    <row r="663" ht="15" customHeight="1" s="31">
      <c r="G663" s="30" t="n"/>
      <c r="K663" s="30" t="n"/>
      <c r="L663" s="30" t="n"/>
    </row>
    <row r="664" ht="15" customHeight="1" s="31">
      <c r="G664" s="30" t="n"/>
      <c r="K664" s="30" t="n"/>
      <c r="L664" s="30" t="n"/>
    </row>
    <row r="665" ht="15" customHeight="1" s="31">
      <c r="G665" s="30" t="n"/>
      <c r="K665" s="30" t="n"/>
      <c r="L665" s="30" t="n"/>
    </row>
    <row r="666" ht="15" customHeight="1" s="31">
      <c r="G666" s="30" t="n"/>
      <c r="K666" s="30" t="n"/>
      <c r="L666" s="30" t="n"/>
    </row>
    <row r="667" ht="15" customHeight="1" s="31">
      <c r="G667" s="30" t="n"/>
      <c r="K667" s="30" t="n"/>
      <c r="L667" s="30" t="n"/>
    </row>
    <row r="668" ht="15" customHeight="1" s="31">
      <c r="G668" s="30" t="n"/>
      <c r="K668" s="30" t="n"/>
      <c r="L668" s="30" t="n"/>
    </row>
    <row r="669" ht="15" customHeight="1" s="31">
      <c r="G669" s="30" t="n"/>
      <c r="K669" s="30" t="n"/>
      <c r="L669" s="30" t="n"/>
    </row>
    <row r="670" ht="15" customHeight="1" s="31">
      <c r="G670" s="30" t="n"/>
      <c r="K670" s="30" t="n"/>
      <c r="L670" s="30" t="n"/>
    </row>
    <row r="671" ht="15" customHeight="1" s="31">
      <c r="G671" s="30" t="n"/>
      <c r="K671" s="30" t="n"/>
      <c r="L671" s="30" t="n"/>
    </row>
    <row r="672" ht="15" customHeight="1" s="31">
      <c r="G672" s="30" t="n"/>
      <c r="K672" s="30" t="n"/>
      <c r="L672" s="30" t="n"/>
    </row>
    <row r="673" ht="15" customHeight="1" s="31">
      <c r="G673" s="30" t="n"/>
      <c r="K673" s="30" t="n"/>
      <c r="L673" s="30" t="n"/>
    </row>
    <row r="674" ht="15" customHeight="1" s="31">
      <c r="G674" s="30" t="n"/>
      <c r="K674" s="30" t="n"/>
      <c r="L674" s="30" t="n"/>
    </row>
    <row r="675" ht="15" customHeight="1" s="31">
      <c r="G675" s="30" t="n"/>
      <c r="K675" s="30" t="n"/>
      <c r="L675" s="30" t="n"/>
    </row>
    <row r="676" ht="15" customHeight="1" s="31">
      <c r="G676" s="30" t="n"/>
      <c r="K676" s="30" t="n"/>
      <c r="L676" s="30" t="n"/>
    </row>
    <row r="677" ht="15" customHeight="1" s="31">
      <c r="G677" s="30" t="n"/>
      <c r="K677" s="30" t="n"/>
      <c r="L677" s="30" t="n"/>
    </row>
    <row r="678" ht="15" customHeight="1" s="31">
      <c r="G678" s="30" t="n"/>
      <c r="K678" s="30" t="n"/>
      <c r="L678" s="30" t="n"/>
    </row>
    <row r="679" ht="15" customHeight="1" s="31">
      <c r="G679" s="30" t="n"/>
      <c r="K679" s="30" t="n"/>
      <c r="L679" s="30" t="n"/>
    </row>
    <row r="680" ht="15" customHeight="1" s="31">
      <c r="G680" s="30" t="n"/>
      <c r="K680" s="30" t="n"/>
      <c r="L680" s="30" t="n"/>
    </row>
    <row r="681" ht="15" customHeight="1" s="31">
      <c r="G681" s="30" t="n"/>
      <c r="K681" s="30" t="n"/>
      <c r="L681" s="30" t="n"/>
    </row>
    <row r="682" ht="15" customHeight="1" s="31">
      <c r="G682" s="30" t="n"/>
      <c r="K682" s="30" t="n"/>
      <c r="L682" s="30" t="n"/>
    </row>
    <row r="683" ht="15" customHeight="1" s="31">
      <c r="G683" s="30" t="n"/>
      <c r="K683" s="30" t="n"/>
      <c r="L683" s="30" t="n"/>
    </row>
    <row r="684" ht="15" customHeight="1" s="31">
      <c r="G684" s="30" t="n"/>
      <c r="K684" s="30" t="n"/>
      <c r="L684" s="30" t="n"/>
    </row>
    <row r="685" ht="15" customHeight="1" s="31">
      <c r="G685" s="30" t="n"/>
      <c r="K685" s="30" t="n"/>
      <c r="L685" s="30" t="n"/>
    </row>
    <row r="686" ht="15" customHeight="1" s="31">
      <c r="G686" s="30" t="n"/>
      <c r="K686" s="30" t="n"/>
      <c r="L686" s="30" t="n"/>
    </row>
    <row r="687" ht="15" customHeight="1" s="31">
      <c r="G687" s="30" t="n"/>
      <c r="K687" s="30" t="n"/>
      <c r="L687" s="30" t="n"/>
    </row>
    <row r="688" ht="15" customHeight="1" s="31">
      <c r="G688" s="30" t="n"/>
      <c r="K688" s="30" t="n"/>
      <c r="L688" s="30" t="n"/>
    </row>
    <row r="689" ht="15" customHeight="1" s="31">
      <c r="G689" s="30" t="n"/>
      <c r="K689" s="30" t="n"/>
      <c r="L689" s="30" t="n"/>
    </row>
    <row r="690" ht="15" customHeight="1" s="31">
      <c r="G690" s="30" t="n"/>
      <c r="K690" s="30" t="n"/>
      <c r="L690" s="30" t="n"/>
    </row>
    <row r="691" ht="15" customHeight="1" s="31">
      <c r="G691" s="30" t="n"/>
      <c r="K691" s="30" t="n"/>
      <c r="L691" s="30" t="n"/>
    </row>
    <row r="692" ht="15" customHeight="1" s="31">
      <c r="G692" s="30" t="n"/>
      <c r="K692" s="30" t="n"/>
      <c r="L692" s="30" t="n"/>
    </row>
    <row r="693" ht="15" customHeight="1" s="31">
      <c r="G693" s="30" t="n"/>
      <c r="K693" s="30" t="n"/>
      <c r="L693" s="30" t="n"/>
    </row>
    <row r="694" ht="15" customHeight="1" s="31">
      <c r="G694" s="30" t="n"/>
      <c r="K694" s="30" t="n"/>
      <c r="L694" s="30" t="n"/>
    </row>
    <row r="695" ht="15" customHeight="1" s="31">
      <c r="G695" s="30" t="n"/>
      <c r="K695" s="30" t="n"/>
      <c r="L695" s="30" t="n"/>
    </row>
    <row r="696" ht="15" customHeight="1" s="31">
      <c r="G696" s="30" t="n"/>
      <c r="K696" s="30" t="n"/>
      <c r="L696" s="30" t="n"/>
    </row>
    <row r="697" ht="15" customHeight="1" s="31">
      <c r="G697" s="30" t="n"/>
      <c r="K697" s="30" t="n"/>
      <c r="L697" s="30" t="n"/>
    </row>
    <row r="698" ht="15" customHeight="1" s="31">
      <c r="G698" s="30" t="n"/>
      <c r="K698" s="30" t="n"/>
      <c r="L698" s="30" t="n"/>
    </row>
    <row r="699" ht="15" customHeight="1" s="31">
      <c r="G699" s="30" t="n"/>
      <c r="K699" s="30" t="n"/>
      <c r="L699" s="30" t="n"/>
    </row>
    <row r="700" ht="15" customHeight="1" s="31">
      <c r="G700" s="30" t="n"/>
      <c r="K700" s="30" t="n"/>
      <c r="L700" s="30" t="n"/>
    </row>
  </sheetData>
  <mergeCells count="1">
    <mergeCell ref="A1:S1"/>
  </mergeCells>
  <dataValidations count="4">
    <dataValidation sqref="L3:L700" showDropDown="0" showInputMessage="0" showErrorMessage="0" allowBlank="1" type="list" errorStyle="stop" operator="between">
      <formula1>"New Lead,Contacted,Replied,Call Scheduled,Proposal Sent,Active Client,Closed Won,Closed Lost,Nurture"</formula1>
      <formula2>0</formula2>
    </dataValidation>
    <dataValidation sqref="G3:G700" showDropDown="0" showInputMessage="0" showErrorMessage="0" allowBlank="1" type="list" errorStyle="stop" operator="between">
      <formula1>"High,Medium,Low"</formula1>
      <formula2>0</formula2>
    </dataValidation>
    <dataValidation sqref="K3:K700" showDropDown="0" showInputMessage="0" showErrorMessage="0" allowBlank="1" type="list" errorStyle="stop" operator="between">
      <formula1>"YES,NO"</formula1>
      <formula2>0</formula2>
    </dataValidation>
    <dataValidation sqref="S3:S700" showDropDown="0" showInputMessage="0" showErrorMessage="0" allowBlank="1" type="list" errorStyle="stop" operator="between">
      <formula1>"LinkedIn,University Website,Referral,Reddit,Facebook Group,Cold Email,Conference,Other"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30" min="1" max="1"/>
    <col width="108" customWidth="1" style="30" min="2" max="2"/>
  </cols>
  <sheetData>
    <row r="1" ht="27.75" customHeight="1" s="31">
      <c r="A1" s="43" t="inlineStr">
        <is>
          <t>FORREST ANALYTICS GROUP LLC — OUTREACH EMAIL TEMPLATES</t>
        </is>
      </c>
    </row>
    <row r="2" ht="19.5" customHeight="1" s="31">
      <c r="A2" s="44" t="inlineStr">
        <is>
          <t>FORMAT RULES: 50-125 words max | 3-7 word subject | One CTA question | No em dashes | No bullets | Sound human | Link website naturally</t>
        </is>
      </c>
    </row>
    <row r="3" ht="19.5" customHeight="1" s="31">
      <c r="A3" s="45" t="inlineStr">
        <is>
          <t>TEMPLATE 1 -- Cold Outreach - Psychology / Social Psych PhD</t>
        </is>
      </c>
      <c r="B3" s="45" t="inlineStr">
        <is>
          <t>Cold Outreach -- Psychology / Social Psych PhD</t>
        </is>
      </c>
    </row>
    <row r="4" ht="19.5" customHeight="1" s="31">
      <c r="A4" s="46" t="inlineStr">
        <is>
          <t>Subject</t>
        </is>
      </c>
      <c r="B4" s="47" t="inlineStr">
        <is>
          <t>quick question about your dissertation</t>
        </is>
      </c>
    </row>
    <row r="5" ht="145.5" customHeight="1" s="31">
      <c r="A5" s="48" t="inlineStr">
        <is>
          <t>Body</t>
        </is>
      </c>
      <c r="B5" s="49" t="inlineStr">
        <is>
          <t>Hi [First Name],
I came across your profile through the [University] psychology program and wanted to reach out. I run Forrest Analytics Group (forrestanalyticsgroup.com) and I help PhD candidates with the data side of dissertations -- things like Qualtrics setup, R or Python analysis, and the stats for the results chapter.
I just finished a project like that for a psych PhD candidate at Duquesne and it went really well.
Are you at a stage where that kind of support might be useful?
Josh Forrest
856.725.4983</t>
        </is>
      </c>
    </row>
    <row r="6" ht="19.5" customHeight="1" s="31">
      <c r="A6" s="50" t="inlineStr">
        <is>
          <t>Word Count</t>
        </is>
      </c>
      <c r="B6" s="51" t="inlineStr">
        <is>
          <t>~75 words</t>
        </is>
      </c>
    </row>
    <row r="7" ht="6" customHeight="1" s="31">
      <c r="A7" s="48" t="n"/>
      <c r="B7" s="49" t="n"/>
    </row>
    <row r="8" ht="19.5" customHeight="1" s="31">
      <c r="A8" s="45" t="inlineStr">
        <is>
          <t>TEMPLATE 2 -- Cold Outreach - Nursing / Public Health PhD</t>
        </is>
      </c>
      <c r="B8" s="45" t="inlineStr">
        <is>
          <t>Cold Outreach -- Nursing / Public Health PhD</t>
        </is>
      </c>
    </row>
    <row r="9" ht="19.5" customHeight="1" s="31">
      <c r="A9" s="46" t="inlineStr">
        <is>
          <t>Subject</t>
        </is>
      </c>
      <c r="B9" s="47" t="inlineStr">
        <is>
          <t>dissertation data support -- nursing research</t>
        </is>
      </c>
    </row>
    <row r="10" ht="145.5" customHeight="1" s="31">
      <c r="A10" s="48" t="inlineStr">
        <is>
          <t>Body</t>
        </is>
      </c>
      <c r="B10" s="49" t="inlineStr">
        <is>
          <t>Hi [First Name],
I found you through the [University] nursing program and wanted to reach out. I work with nursing and public health PhD candidates on the technical parts of their dissertations -- Qualtrics survey setup, data cleaning in R, and statistical analysis for the results chapter.
I run Forrest Analytics Group (forrestanalyticsgroup.com) and recently completed a full data support project for another doctoral candidate.
Are you approaching your data collection or analysis phase?
Josh Forrest
856.725.4983</t>
        </is>
      </c>
    </row>
    <row r="11" ht="19.5" customHeight="1" s="31">
      <c r="A11" s="50" t="inlineStr">
        <is>
          <t>Word Count</t>
        </is>
      </c>
      <c r="B11" s="51" t="inlineStr">
        <is>
          <t>~80 words</t>
        </is>
      </c>
    </row>
    <row r="12" ht="6" customHeight="1" s="31">
      <c r="A12" s="48" t="n"/>
      <c r="B12" s="49" t="n"/>
    </row>
    <row r="13" ht="19.5" customHeight="1" s="31">
      <c r="A13" s="45" t="inlineStr">
        <is>
          <t>TEMPLATE 3 -- Cold Outreach - Behavior Analysis / Clinical Science</t>
        </is>
      </c>
      <c r="B13" s="45" t="inlineStr">
        <is>
          <t>Cold Outreach -- Behavior Analysis / Clinical Science</t>
        </is>
      </c>
    </row>
    <row r="14" ht="19.5" customHeight="1" s="31">
      <c r="A14" s="46" t="inlineStr">
        <is>
          <t>Subject</t>
        </is>
      </c>
      <c r="B14" s="47" t="inlineStr">
        <is>
          <t>data help for your dissertation</t>
        </is>
      </c>
    </row>
    <row r="15" ht="145.5" customHeight="1" s="31">
      <c r="A15" s="48" t="inlineStr">
        <is>
          <t>Body</t>
        </is>
      </c>
      <c r="B15" s="49" t="inlineStr">
        <is>
          <t>Hi [First Name],
I run Forrest Analytics Group (forrestanalyticsgroup.com) and work with doctoral candidates on the technical parts of dissertation research -- survey design, data cleaning, and statistical analysis in R and Python.
I found you through the [University] program and thought this might be relevant to where you are in your research. I recently supported a PhD candidate at Duquesne through the full analysis phase.
Would a quick 15-minute call be worth it?
Josh Forrest
856.725.4983</t>
        </is>
      </c>
    </row>
    <row r="16" ht="19.5" customHeight="1" s="31">
      <c r="A16" s="50" t="inlineStr">
        <is>
          <t>Word Count</t>
        </is>
      </c>
      <c r="B16" s="51" t="inlineStr">
        <is>
          <t>~80 words</t>
        </is>
      </c>
    </row>
    <row r="17" ht="6" customHeight="1" s="31">
      <c r="A17" s="48" t="n"/>
      <c r="B17" s="49" t="n"/>
    </row>
    <row r="18" ht="19.5" customHeight="1" s="31">
      <c r="A18" s="45" t="inlineStr">
        <is>
          <t>TEMPLATE 4 -- Follow-Up #1 - 7 Days No Response</t>
        </is>
      </c>
      <c r="B18" s="45" t="inlineStr">
        <is>
          <t>Follow-Up #1 -- 7 Days, No Response</t>
        </is>
      </c>
    </row>
    <row r="19" ht="19.5" customHeight="1" s="31">
      <c r="A19" s="46" t="inlineStr">
        <is>
          <t>Subject</t>
        </is>
      </c>
      <c r="B19" s="47" t="inlineStr">
        <is>
          <t>re: dissertation data support</t>
        </is>
      </c>
    </row>
    <row r="20" ht="117.75" customHeight="1" s="31">
      <c r="A20" s="48" t="inlineStr">
        <is>
          <t>Body</t>
        </is>
      </c>
      <c r="B20" s="49" t="inlineStr">
        <is>
          <t>Hi [First Name],
Just bumping this up in case it got buried. If you are heading into data collection or analysis and could use help on the stats and technical side, I would love to connect.
Worth a quick 15-minute call?
Josh
forrestanalyticsgroup.com</t>
        </is>
      </c>
    </row>
    <row r="21" ht="19.5" customHeight="1" s="31">
      <c r="A21" s="50" t="inlineStr">
        <is>
          <t>Word Count</t>
        </is>
      </c>
      <c r="B21" s="51" t="inlineStr">
        <is>
          <t>~45 words</t>
        </is>
      </c>
    </row>
    <row r="22" ht="6" customHeight="1" s="31">
      <c r="A22" s="48" t="n"/>
      <c r="B22" s="49" t="n"/>
    </row>
    <row r="23" ht="19.5" customHeight="1" s="31">
      <c r="A23" s="45" t="inlineStr">
        <is>
          <t>TEMPLATE 5 -- Final Touch - 14 Days No Response</t>
        </is>
      </c>
      <c r="B23" s="45" t="inlineStr">
        <is>
          <t>Final Touch -- 14 Days, No Response</t>
        </is>
      </c>
    </row>
    <row r="24" ht="19.5" customHeight="1" s="31">
      <c r="A24" s="46" t="inlineStr">
        <is>
          <t>Subject</t>
        </is>
      </c>
      <c r="B24" s="47" t="inlineStr">
        <is>
          <t>last note</t>
        </is>
      </c>
    </row>
    <row r="25" ht="103.5" customHeight="1" s="31">
      <c r="A25" s="48" t="inlineStr">
        <is>
          <t>Body</t>
        </is>
      </c>
      <c r="B25" s="49" t="inlineStr">
        <is>
          <t>Hi [First Name],
One last note before I stop reaching out. If dissertation data analysis becomes a bottleneck at any point, I am at forrestanalyticsgroup.com.
Good luck with your research.
Josh</t>
        </is>
      </c>
    </row>
    <row r="26" ht="19.5" customHeight="1" s="31">
      <c r="A26" s="50" t="inlineStr">
        <is>
          <t>Word Count</t>
        </is>
      </c>
      <c r="B26" s="51" t="inlineStr">
        <is>
          <t>~30 words</t>
        </is>
      </c>
    </row>
    <row r="27" ht="6" customHeight="1" s="31">
      <c r="A27" s="48" t="n"/>
      <c r="B27" s="49" t="n"/>
    </row>
    <row r="28" ht="19.5" customHeight="1" s="31">
      <c r="A28" s="45" t="inlineStr">
        <is>
          <t>TEMPLATE 6 -- Jefferson Nursing Dept Head - Quarterly Nurture</t>
        </is>
      </c>
      <c r="B28" s="45" t="inlineStr">
        <is>
          <t>Jefferson Nursing Dept Head -- Quarterly Nurture</t>
        </is>
      </c>
    </row>
    <row r="29" ht="19.5" customHeight="1" s="31">
      <c r="A29" s="46" t="inlineStr">
        <is>
          <t>Subject</t>
        </is>
      </c>
      <c r="B29" s="47" t="inlineStr">
        <is>
          <t>checking in -- Forrest Analytics Group</t>
        </is>
      </c>
    </row>
    <row r="30" ht="145.5" customHeight="1" s="31">
      <c r="A30" s="48" t="inlineStr">
        <is>
          <t>Body</t>
        </is>
      </c>
      <c r="B30" s="49" t="inlineStr">
        <is>
          <t>Hi [Name],
Wanted to check in and say thank you again for the kind response when we first connected. I have been looking forward to supporting Jefferson's nursing doctoral students when the time comes.
Quick update: I have expanded my research support practice across nursing, public health, and psychology programs since we last spoke -- everything from proposal stage through final analysis.
Whenever your first dissertations are approaching the data phase, I would love to reconnect.
Josh Forrest
forrestanalyticsgroup.com | 856.725.4983</t>
        </is>
      </c>
    </row>
    <row r="31" ht="19.5" customHeight="1" s="31">
      <c r="A31" s="50" t="inlineStr">
        <is>
          <t>Word Count</t>
        </is>
      </c>
      <c r="B31" s="51" t="inlineStr">
        <is>
          <t>~90 words</t>
        </is>
      </c>
    </row>
    <row r="32" ht="6" customHeight="1" s="31">
      <c r="A32" s="48" t="n"/>
      <c r="B32" s="49" t="n"/>
    </row>
    <row r="33" ht="19.5" customHeight="1" s="31">
      <c r="A33" s="45" t="inlineStr">
        <is>
          <t>TEMPLATE 7 -- Referral Request - After Completed Project</t>
        </is>
      </c>
      <c r="B33" s="45" t="inlineStr">
        <is>
          <t>Referral Request -- After Completed Project</t>
        </is>
      </c>
    </row>
    <row r="34" ht="19.5" customHeight="1" s="31">
      <c r="A34" s="46" t="inlineStr">
        <is>
          <t>Subject</t>
        </is>
      </c>
      <c r="B34" s="47" t="inlineStr">
        <is>
          <t>thank you + a small ask</t>
        </is>
      </c>
    </row>
    <row r="35" ht="132" customHeight="1" s="31">
      <c r="A35" s="48" t="inlineStr">
        <is>
          <t>Body</t>
        </is>
      </c>
      <c r="B35" s="49" t="inlineStr">
        <is>
          <t>Hi [First Name],
Really glad the project came together well -- I hope your defense goes smoothly!
If you know any other doctoral candidates who might need help with data analysis or survey design, an introduction would mean a lot. Even just mentioning forrestanalyticsgroup.com goes a long way.
Thanks again,
Josh Forrest
856.725.4983</t>
        </is>
      </c>
    </row>
    <row r="36" ht="19.5" customHeight="1" s="31">
      <c r="A36" s="50" t="inlineStr">
        <is>
          <t>Word Count</t>
        </is>
      </c>
      <c r="B36" s="51" t="inlineStr">
        <is>
          <t>~55 words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30" min="1" max="1"/>
    <col width="16" customWidth="1" style="30" min="2" max="4"/>
  </cols>
  <sheetData>
    <row r="1" ht="30" customHeight="1" s="31">
      <c r="A1" s="52" t="inlineStr">
        <is>
          <t>PIPELINE DASHBOARD</t>
        </is>
      </c>
    </row>
    <row r="2" ht="9.75" customHeight="1" s="31"/>
    <row r="3" ht="15" customHeight="1" s="31">
      <c r="A3" s="53" t="inlineStr">
        <is>
          <t>PIPELINE SUMMARY</t>
        </is>
      </c>
    </row>
    <row r="4" ht="15" customHeight="1" s="31">
      <c r="A4" s="54" t="inlineStr">
        <is>
          <t>Metric</t>
        </is>
      </c>
      <c r="B4" s="54" t="inlineStr">
        <is>
          <t>Count</t>
        </is>
      </c>
      <c r="C4" s="54" t="inlineStr">
        <is>
          <t>Est. Value ($)</t>
        </is>
      </c>
      <c r="D4" s="54" t="inlineStr">
        <is>
          <t>Actual Rev ($)</t>
        </is>
      </c>
    </row>
    <row r="5" ht="19.5" customHeight="1" s="31">
      <c r="A5" s="36" t="inlineStr">
        <is>
          <t>Total Leads</t>
        </is>
      </c>
      <c r="B5" s="36">
        <f>COUNTA('Lead Tracker'!A3:A2000)</f>
        <v/>
      </c>
      <c r="C5" s="55">
        <f>SUMIF('Lead Tracker'!L3:L2000,"&lt;&gt;Closed Lost",'Lead Tracker'!P3:P2000)</f>
        <v/>
      </c>
      <c r="D5" s="55">
        <f>SUM('Lead Tracker'!Q3:Q2000)</f>
        <v/>
      </c>
    </row>
    <row r="6" ht="19.5" customHeight="1" s="31">
      <c r="A6" s="39" t="inlineStr">
        <is>
          <t>High Priority</t>
        </is>
      </c>
      <c r="B6" s="39">
        <f>COUNTIF('Lead Tracker'!G3:G2000,"High")</f>
        <v/>
      </c>
      <c r="C6" s="39" t="n"/>
      <c r="D6" s="39" t="n"/>
    </row>
    <row r="7" ht="19.5" customHeight="1" s="31">
      <c r="A7" s="36" t="inlineStr">
        <is>
          <t>New (Not Contacted)</t>
        </is>
      </c>
      <c r="B7" s="36">
        <f>COUNTIF('Lead Tracker'!L3:L2000,"New Lead")</f>
        <v/>
      </c>
      <c r="C7" s="36" t="n"/>
      <c r="D7" s="36" t="n"/>
    </row>
    <row r="8" ht="19.5" customHeight="1" s="31">
      <c r="A8" s="39" t="inlineStr">
        <is>
          <t>Contacted</t>
        </is>
      </c>
      <c r="B8" s="39">
        <f>COUNTIF('Lead Tracker'!L3:L2000,"Contacted")</f>
        <v/>
      </c>
      <c r="C8" s="39" t="n"/>
      <c r="D8" s="39" t="n"/>
    </row>
    <row r="9" ht="19.5" customHeight="1" s="31">
      <c r="A9" s="36" t="inlineStr">
        <is>
          <t>Active Clients</t>
        </is>
      </c>
      <c r="B9" s="36">
        <f>COUNTIF('Lead Tracker'!L3:L2000,"Active Client")</f>
        <v/>
      </c>
      <c r="C9" s="55">
        <f>SUMIF('Lead Tracker'!L3:L2000,"Active Client",'Lead Tracker'!P3:P2000)</f>
        <v/>
      </c>
      <c r="D9" s="55">
        <f>SUMIF('Lead Tracker'!L3:L2000,"Active Client",'Lead Tracker'!Q3:Q2000)</f>
        <v/>
      </c>
    </row>
    <row r="10" ht="19.5" customHeight="1" s="31">
      <c r="A10" s="39" t="inlineStr">
        <is>
          <t>Closed Won</t>
        </is>
      </c>
      <c r="B10" s="39">
        <f>COUNTIF('Lead Tracker'!L3:L2000,"Closed Won")</f>
        <v/>
      </c>
      <c r="C10" s="39" t="n"/>
      <c r="D10" s="56">
        <f>SUMIF('Lead Tracker'!L3:L2000,"Closed Won",'Lead Tracker'!Q3:Q2000)</f>
        <v/>
      </c>
    </row>
    <row r="11" ht="19.5" customHeight="1" s="31">
      <c r="A11" s="36" t="inlineStr">
        <is>
          <t>Nurture</t>
        </is>
      </c>
      <c r="B11" s="36">
        <f>COUNTIF('Lead Tracker'!L3:L2000,"Nurture")</f>
        <v/>
      </c>
      <c r="C11" s="36" t="n"/>
      <c r="D11" s="36" t="n"/>
    </row>
    <row r="13" ht="9.75" customHeight="1" s="31"/>
    <row r="14" ht="15" customHeight="1" s="31">
      <c r="A14" s="53" t="inlineStr">
        <is>
          <t>REVENUE GOALS</t>
        </is>
      </c>
    </row>
    <row r="15" ht="21.75" customHeight="1" s="31">
      <c r="A15" s="57" t="inlineStr">
        <is>
          <t>Monthly Revenue Target ($)</t>
        </is>
      </c>
      <c r="B15" s="55" t="n">
        <v>2000</v>
      </c>
    </row>
    <row r="16" ht="21.75" customHeight="1" s="31">
      <c r="A16" s="58" t="inlineStr">
        <is>
          <t>Total Actual Revenue ($)</t>
        </is>
      </c>
      <c r="B16" s="56">
        <f>SUM('Lead Tracker'!Q3:Q2000)</f>
        <v/>
      </c>
    </row>
    <row r="17" ht="21.75" customHeight="1" s="31">
      <c r="A17" s="57" t="inlineStr">
        <is>
          <t>Total Pipeline Value ($)</t>
        </is>
      </c>
      <c r="B17" s="55">
        <f>SUMIF('Lead Tracker'!L3:L2000,"&lt;&gt;Closed Lost",'Lead Tracker'!P3:P2000)</f>
        <v/>
      </c>
    </row>
    <row r="19" ht="9.75" customHeight="1" s="31"/>
    <row r="20" ht="15" customHeight="1" s="31">
      <c r="A20" s="53" t="inlineStr">
        <is>
          <t>LEAD PRIORITY BREAKDOWN</t>
        </is>
      </c>
    </row>
    <row r="21" ht="19.5" customHeight="1" s="31">
      <c r="A21" s="58" t="inlineStr">
        <is>
          <t>High Priority Leads</t>
        </is>
      </c>
      <c r="B21" s="39">
        <f>COUNTIF('Lead Tracker'!G3:G2000,"High")</f>
        <v/>
      </c>
    </row>
    <row r="22" ht="19.5" customHeight="1" s="31">
      <c r="A22" s="57" t="inlineStr">
        <is>
          <t>Medium Priority Leads</t>
        </is>
      </c>
      <c r="B22" s="36">
        <f>COUNTIF('Lead Tracker'!G3:G2000,"Medium")</f>
        <v/>
      </c>
    </row>
    <row r="23" ht="19.5" customHeight="1" s="31">
      <c r="A23" s="58" t="inlineStr">
        <is>
          <t>Low Priority Leads</t>
        </is>
      </c>
      <c r="B23" s="39">
        <f>COUNTIF('Lead Tracker'!G3:G2000,"Low")</f>
        <v/>
      </c>
    </row>
  </sheetData>
  <mergeCells count="4">
    <mergeCell ref="A1:D1"/>
    <mergeCell ref="A3:D3"/>
    <mergeCell ref="A20:D20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2026-04-03T02:24:24Z</dcterms:created>
  <dcterms:modified xmlns:dcterms="http://purl.org/dc/terms/" xmlns:xsi="http://www.w3.org/2001/XMLSchema-instance" xsi:type="dcterms:W3CDTF">2026-04-03T23:21:36Z</dcterms:modified>
  <cp:revision>0</cp:revision>
</cp:coreProperties>
</file>